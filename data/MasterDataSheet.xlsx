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X:\Health\ResearchProjects\EPreatoni\EG-FH1095\Data\"/>
    </mc:Choice>
  </mc:AlternateContent>
  <xr:revisionPtr revIDLastSave="0" documentId="13_ncr:1_{91D3024D-B97A-45AE-935F-5DECB773B092}" xr6:coauthVersionLast="47" xr6:coauthVersionMax="47" xr10:uidLastSave="{00000000-0000-0000-0000-000000000000}"/>
  <bookViews>
    <workbookView xWindow="-108" yWindow="-108" windowWidth="23256" windowHeight="12576" tabRatio="590" xr2:uid="{00000000-000D-0000-FFFF-FFFF00000000}"/>
  </bookViews>
  <sheets>
    <sheet name="Sheet1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6" i="2" l="1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S5" i="2" a="1"/>
  <c r="S5" i="2" s="1"/>
  <c r="R5" i="2"/>
  <c r="Q5" i="2" a="1"/>
  <c r="Q5" i="2" s="1"/>
  <c r="P5" i="2"/>
  <c r="O5" i="2" a="1"/>
  <c r="O5" i="2" s="1"/>
  <c r="N5" i="2"/>
  <c r="M5" i="2" a="1"/>
  <c r="M5" i="2" s="1"/>
  <c r="L5" i="2"/>
  <c r="K5" i="2" a="1"/>
  <c r="K5" i="2" s="1"/>
  <c r="J5" i="2"/>
  <c r="I5" i="2"/>
  <c r="H5" i="2"/>
  <c r="G5" i="2" a="1"/>
  <c r="G5" i="2" s="1"/>
  <c r="F5" i="2"/>
  <c r="E5" i="2" a="1"/>
  <c r="E5" i="2" s="1"/>
  <c r="D5" i="2"/>
  <c r="C5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S4" i="2" a="1"/>
  <c r="S4" i="2" s="1"/>
  <c r="R4" i="2"/>
  <c r="Q4" i="2" a="1"/>
  <c r="Q4" i="2" s="1"/>
  <c r="P4" i="2"/>
  <c r="O4" i="2" a="1"/>
  <c r="O4" i="2" s="1"/>
  <c r="N4" i="2"/>
  <c r="M4" i="2" a="1"/>
  <c r="M4" i="2" s="1"/>
  <c r="L4" i="2"/>
  <c r="K4" i="2" a="1"/>
  <c r="K4" i="2" s="1"/>
  <c r="J4" i="2"/>
  <c r="I4" i="2" a="1"/>
  <c r="I4" i="2" s="1"/>
  <c r="H4" i="2"/>
  <c r="G4" i="2" a="1"/>
  <c r="G4" i="2" s="1"/>
  <c r="F4" i="2"/>
  <c r="E4" i="2" a="1"/>
  <c r="E4" i="2" s="1"/>
  <c r="D4" i="2"/>
  <c r="C4" i="2"/>
  <c r="C6" i="2" s="1"/>
</calcChain>
</file>

<file path=xl/sharedStrings.xml><?xml version="1.0" encoding="utf-8"?>
<sst xmlns="http://schemas.openxmlformats.org/spreadsheetml/2006/main" count="433" uniqueCount="218">
  <si>
    <t>Participant</t>
  </si>
  <si>
    <t>Sex</t>
  </si>
  <si>
    <t>Age</t>
  </si>
  <si>
    <t>Height</t>
  </si>
  <si>
    <t>Mass</t>
  </si>
  <si>
    <t>RunningDaysAWeek</t>
  </si>
  <si>
    <t>KmAWeek</t>
  </si>
  <si>
    <t>Injuries12Months</t>
  </si>
  <si>
    <t>Time10K</t>
  </si>
  <si>
    <t>LT</t>
  </si>
  <si>
    <t>VO2max</t>
  </si>
  <si>
    <t>RQ</t>
  </si>
  <si>
    <t>HRmax</t>
  </si>
  <si>
    <t>RPEmax</t>
  </si>
  <si>
    <t>MaxCompletedSpeed</t>
  </si>
  <si>
    <t>MaxStartedSpeed</t>
  </si>
  <si>
    <t>Temperature</t>
  </si>
  <si>
    <t>Humidity</t>
  </si>
  <si>
    <t>Pressure</t>
  </si>
  <si>
    <t>EE10</t>
  </si>
  <si>
    <t>EE11</t>
  </si>
  <si>
    <t>EE12</t>
  </si>
  <si>
    <t>EE13</t>
  </si>
  <si>
    <t>EE14</t>
  </si>
  <si>
    <t>EE15</t>
  </si>
  <si>
    <t>EE16</t>
  </si>
  <si>
    <t>EE17</t>
  </si>
  <si>
    <t>EE18</t>
  </si>
  <si>
    <t>EE19</t>
  </si>
  <si>
    <t>EE20</t>
  </si>
  <si>
    <t>VO10</t>
  </si>
  <si>
    <t>VO11</t>
  </si>
  <si>
    <t>VO12</t>
  </si>
  <si>
    <t>VO13</t>
  </si>
  <si>
    <t>VO14</t>
  </si>
  <si>
    <t>VO15</t>
  </si>
  <si>
    <t>VO16</t>
  </si>
  <si>
    <t>VO17</t>
  </si>
  <si>
    <t>VO18</t>
  </si>
  <si>
    <t>VO19</t>
  </si>
  <si>
    <t>VO20</t>
  </si>
  <si>
    <t>HR10</t>
  </si>
  <si>
    <t>HR11</t>
  </si>
  <si>
    <t>HR12</t>
  </si>
  <si>
    <t>HR13</t>
  </si>
  <si>
    <t>HR14</t>
  </si>
  <si>
    <t>HR15</t>
  </si>
  <si>
    <t>HR16</t>
  </si>
  <si>
    <t>HR17</t>
  </si>
  <si>
    <t>HR18</t>
  </si>
  <si>
    <t>HR19</t>
  </si>
  <si>
    <t>HR20</t>
  </si>
  <si>
    <t>PelvWidth</t>
  </si>
  <si>
    <t>ThiLgth_r</t>
  </si>
  <si>
    <t>ThiLgth_l</t>
  </si>
  <si>
    <t>ShaLgth_r</t>
  </si>
  <si>
    <t>ShaLgth_l</t>
  </si>
  <si>
    <t>LegLgth_r</t>
  </si>
  <si>
    <t>LegLgth_l</t>
  </si>
  <si>
    <t>FootLgth_r</t>
  </si>
  <si>
    <t>FootLgth_l</t>
  </si>
  <si>
    <t>TrunkLgth</t>
  </si>
  <si>
    <t>Sess2_time</t>
  </si>
  <si>
    <t>Sess2_RPE</t>
  </si>
  <si>
    <t>Sess2_La</t>
  </si>
  <si>
    <t>EEJW10</t>
  </si>
  <si>
    <t>EEJW11</t>
  </si>
  <si>
    <t>EEJW12</t>
  </si>
  <si>
    <t>EEJW13</t>
  </si>
  <si>
    <t>EEJW14</t>
  </si>
  <si>
    <t>EEJW15</t>
  </si>
  <si>
    <t>EEJW16</t>
  </si>
  <si>
    <t>EEJW17</t>
  </si>
  <si>
    <t>EEJW18</t>
  </si>
  <si>
    <t>EEJW19</t>
  </si>
  <si>
    <t>EEJW20</t>
  </si>
  <si>
    <t>RPE10</t>
  </si>
  <si>
    <t>RPE11</t>
  </si>
  <si>
    <t>RPE12</t>
  </si>
  <si>
    <t>RPE13</t>
  </si>
  <si>
    <t>RPE14</t>
  </si>
  <si>
    <t>RPE15</t>
  </si>
  <si>
    <t>RPE16</t>
  </si>
  <si>
    <t>RPE17</t>
  </si>
  <si>
    <t>RPE18</t>
  </si>
  <si>
    <t>RPE19</t>
  </si>
  <si>
    <t>RPE20</t>
  </si>
  <si>
    <t>RPE21</t>
  </si>
  <si>
    <t>RPE22</t>
  </si>
  <si>
    <t>RPE23</t>
  </si>
  <si>
    <t>RPE24</t>
  </si>
  <si>
    <t>RPE25</t>
  </si>
  <si>
    <t>P001</t>
  </si>
  <si>
    <t>Male</t>
  </si>
  <si>
    <t>No</t>
  </si>
  <si>
    <t>P002</t>
  </si>
  <si>
    <t>P003</t>
  </si>
  <si>
    <t>P004</t>
  </si>
  <si>
    <t>Female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</si>
  <si>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</si>
  <si>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</si>
  <si>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</si>
  <si>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</si>
  <si>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</si>
  <si>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</si>
  <si>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</si>
  <si>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</si>
  <si>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</si>
  <si>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</si>
  <si>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</si>
  <si>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</si>
  <si>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</si>
  <si>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Knee pain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</si>
  <si>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</si>
  <si>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</si>
  <si>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</si>
  <si>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</si>
  <si>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</si>
  <si>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</si>
  <si>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</si>
  <si>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</si>
  <si>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</si>
  <si>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</si>
  <si>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Sprained ankle 6 months ago for a week and knee pain two weeks 10 months ago</t>
  </si>
  <si>
    <t>P028</t>
  </si>
  <si>
    <t>P029</t>
  </si>
  <si>
    <t>P030</t>
  </si>
  <si>
    <t>P031</t>
  </si>
  <si>
    <t>P032</t>
  </si>
  <si>
    <t>P033</t>
  </si>
  <si>
    <t>Shin ankle pain due to partially collapsed arch in April 2019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</si>
  <si>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</si>
  <si>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</si>
  <si>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</si>
  <si>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</si>
  <si>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</si>
  <si>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</si>
  <si>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</si>
  <si>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</si>
  <si>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</si>
  <si>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</si>
  <si>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</si>
  <si>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shin splints july 2021 for 1 week</t>
  </si>
  <si>
    <t>P045</t>
  </si>
  <si>
    <t>P046</t>
  </si>
  <si>
    <t>P047</t>
  </si>
  <si>
    <t>P048</t>
  </si>
  <si>
    <t>Shins and tight calves but not recently</t>
  </si>
  <si>
    <t>P049</t>
  </si>
  <si>
    <t>P050</t>
  </si>
  <si>
    <t>Minor calf injuries (not off for an entire week in a year though)</t>
  </si>
  <si>
    <t>P051</t>
  </si>
  <si>
    <t>P052</t>
  </si>
  <si>
    <t>P053</t>
  </si>
  <si>
    <t>P054</t>
  </si>
  <si>
    <t>P055</t>
  </si>
  <si>
    <t>P056</t>
  </si>
  <si>
    <t>P057</t>
  </si>
  <si>
    <t>P058</t>
  </si>
  <si>
    <t>Achilles tear grade 2 in May (6 months ago), fully recovered</t>
  </si>
  <si>
    <t>P059</t>
  </si>
  <si>
    <t>P060</t>
  </si>
  <si>
    <t>MTSS around Feb Match</t>
  </si>
  <si>
    <t>P061</t>
  </si>
  <si>
    <t>P062</t>
  </si>
  <si>
    <t>Ankle sprain, on and off problems through last year</t>
  </si>
  <si>
    <t>P063</t>
  </si>
  <si>
    <t>P064</t>
  </si>
  <si>
    <t>P065</t>
  </si>
  <si>
    <t>P066</t>
  </si>
  <si>
    <t>P067</t>
  </si>
  <si>
    <t>P068</t>
  </si>
  <si>
    <t>P069</t>
  </si>
  <si>
    <t>P070</t>
  </si>
  <si>
    <t>Ntendon pain on left leg 8 months ago</t>
  </si>
  <si>
    <t>P071</t>
  </si>
  <si>
    <t>P072</t>
  </si>
  <si>
    <t>P073</t>
  </si>
  <si>
    <t>No, anaemic until September</t>
  </si>
  <si>
    <t>P074</t>
  </si>
  <si>
    <t>teams</t>
  </si>
  <si>
    <t>P075</t>
  </si>
  <si>
    <t>P076</t>
  </si>
  <si>
    <t>P077</t>
  </si>
  <si>
    <t>Mild patella tendinopathy right knee. No days without running, solved with eccentric loading exercises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</si>
  <si>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</si>
  <si>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</si>
  <si>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</si>
  <si>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</si>
  <si>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</si>
  <si>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</si>
  <si>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</si>
  <si>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</si>
  <si>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</si>
  <si>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 xml:space="preserve">Shi slpins </t>
  </si>
  <si>
    <t>P087</t>
  </si>
  <si>
    <t>P088</t>
  </si>
  <si>
    <t>P089</t>
  </si>
  <si>
    <t>P090</t>
  </si>
  <si>
    <t>P091</t>
  </si>
  <si>
    <t>P092</t>
  </si>
  <si>
    <t>P093</t>
  </si>
  <si>
    <t>P094</t>
  </si>
  <si>
    <t>No, ITB years ago</t>
  </si>
  <si>
    <t>P095</t>
  </si>
  <si>
    <t>P096</t>
  </si>
  <si>
    <t>P097</t>
  </si>
  <si>
    <t>P098</t>
  </si>
  <si>
    <t>P099</t>
  </si>
  <si>
    <t>P100</t>
  </si>
  <si>
    <t>Participants</t>
  </si>
  <si>
    <t>Completed speeds</t>
  </si>
  <si>
    <t>Submax speeds</t>
  </si>
  <si>
    <t>Humidty</t>
  </si>
  <si>
    <t>n</t>
  </si>
  <si>
    <t>mean</t>
  </si>
  <si>
    <t>sd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</si>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</sst>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9A4E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1" fillId="2" borderId="3" xfId="0" applyFont="1" applyFill="1" applyBorder="1"/>
    <xf numFmtId="0" fontId="1" fillId="3" borderId="0" xfId="0" applyFont="1" applyFill="1" applyAlignment="1">
      <alignment horizontal="center"/>
    </xf>
    <xf numFmtId="21" fontId="1" fillId="0" borderId="0" xfId="0" applyNumberFormat="1" applyFont="1"/>
    <xf numFmtId="0" fontId="2" fillId="0" borderId="0" xfId="0" applyFont="1"/>
    <xf numFmtId="164" fontId="1" fillId="0" borderId="0" xfId="0" applyNumberFormat="1" applyFont="1"/>
    <xf numFmtId="0" fontId="0" fillId="0" borderId="4" xfId="0" applyBorder="1"/>
    <xf numFmtId="0" fontId="2" fillId="2" borderId="4" xfId="0" applyFont="1" applyFill="1" applyBorder="1"/>
    <xf numFmtId="0" fontId="2" fillId="4" borderId="2" xfId="0" applyFont="1" applyFill="1" applyBorder="1"/>
    <xf numFmtId="0" fontId="1" fillId="4" borderId="3" xfId="0" applyFont="1" applyFill="1" applyBorder="1"/>
    <xf numFmtId="0" fontId="1" fillId="4" borderId="2" xfId="0" applyFont="1" applyFill="1" applyBorder="1"/>
    <xf numFmtId="0" fontId="1" fillId="5" borderId="0" xfId="0" applyFont="1" applyFill="1" applyAlignment="1">
      <alignment horizontal="center"/>
    </xf>
    <xf numFmtId="0" fontId="0" fillId="0" borderId="5" xfId="0" applyBorder="1"/>
    <xf numFmtId="0" fontId="0" fillId="0" borderId="0" xfId="0"/>
    <xf numFmtId="0" fontId="2" fillId="6" borderId="2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6" xfId="0" applyFont="1" applyFill="1" applyBorder="1"/>
    <xf numFmtId="0" fontId="2" fillId="2" borderId="7" xfId="0" applyFont="1" applyFill="1" applyBorder="1"/>
    <xf numFmtId="0" fontId="1" fillId="8" borderId="0" xfId="0" applyFont="1" applyFill="1"/>
    <xf numFmtId="0" fontId="0" fillId="8" borderId="0" xfId="0" applyFill="1"/>
    <xf numFmtId="0" fontId="1" fillId="9" borderId="0" xfId="0" applyFont="1" applyFill="1" applyAlignment="1">
      <alignment horizontal="center"/>
    </xf>
    <xf numFmtId="21" fontId="0" fillId="0" borderId="0" xfId="0" applyNumberFormat="1"/>
    <xf numFmtId="2" fontId="0" fillId="0" borderId="0" xfId="0" applyNumberFormat="1"/>
    <xf numFmtId="2" fontId="2" fillId="2" borderId="0" xfId="0" applyNumberFormat="1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Sex</a:t>
            </a:r>
            <a:r>
              <a:rPr lang="en-GB" baseline="0"/>
              <a:t> distribution</a:t>
            </a:r>
            <a:endParaRPr lang="en-GB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FA0-4B15-BE3F-4F33B6BB81DA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FA0-4B15-BE3F-4F33B6BB81DA}"/>
              </c:ext>
            </c:extLst>
          </c:dPt>
          <c:cat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cat>
          <c:val>
            <c:numRef>
              <c:f>Results!$C$4:$C$6</c:f>
              <c:numCache>
                <c:formatCode>General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A0-4B15-BE3F-4F33B6BB8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047567"/>
        <c:axId val="1798969695"/>
      </c:barChart>
      <c:catAx>
        <c:axId val="165804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969695"/>
        <c:crosses val="autoZero"/>
        <c:auto val="1"/>
        <c:lblAlgn val="ctr"/>
        <c:lblOffset val="100"/>
        <c:noMultiLvlLbl val="0"/>
      </c:catAx>
      <c:valAx>
        <c:axId val="17989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047567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087-4595-9F9F-9497B5B2857F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087-4595-9F9F-9497B5B2857F}"/>
              </c:ext>
            </c:extLst>
          </c:dPt>
          <c:errBars>
            <c:errBarType val="both"/>
            <c:errValType val="cust"/>
            <c:noEndCap val="0"/>
            <c:plus>
              <c:numRef>
                <c:f>Results!$E$4:$E$6</c:f>
                <c:numCache>
                  <c:formatCode>General</c:formatCode>
                  <c:ptCount val="3"/>
                  <c:pt idx="0">
                    <c:v>9.7435693078636643</c:v>
                  </c:pt>
                  <c:pt idx="1">
                    <c:v>9.7512741187383032</c:v>
                  </c:pt>
                  <c:pt idx="2">
                    <c:v>9.7090814512116754</c:v>
                  </c:pt>
                </c:numCache>
              </c:numRef>
            </c:plus>
            <c:minus>
              <c:numRef>
                <c:f>Results!$E$4:$E$6</c:f>
                <c:numCache>
                  <c:formatCode>General</c:formatCode>
                  <c:ptCount val="3"/>
                  <c:pt idx="0">
                    <c:v>9.7435693078636643</c:v>
                  </c:pt>
                  <c:pt idx="1">
                    <c:v>9.7512741187383032</c:v>
                  </c:pt>
                  <c:pt idx="2">
                    <c:v>9.7090814512116754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cat>
          <c:val>
            <c:numRef>
              <c:f>Results!$D$4:$D$6</c:f>
              <c:numCache>
                <c:formatCode>General</c:formatCode>
                <c:ptCount val="3"/>
                <c:pt idx="0">
                  <c:v>33.96</c:v>
                </c:pt>
                <c:pt idx="1">
                  <c:v>34.880000000000003</c:v>
                </c:pt>
                <c:pt idx="2">
                  <c:v>34.42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87-4595-9F9F-9497B5B28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900383"/>
        <c:axId val="1666355263"/>
      </c:barChart>
      <c:catAx>
        <c:axId val="16289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55263"/>
        <c:crosses val="autoZero"/>
        <c:auto val="1"/>
        <c:lblAlgn val="ctr"/>
        <c:lblOffset val="100"/>
        <c:noMultiLvlLbl val="0"/>
      </c:catAx>
      <c:valAx>
        <c:axId val="166635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00383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Height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8A-4FB3-B27C-09D49626DB7E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8A-4FB3-B27C-09D49626DB7E}"/>
              </c:ext>
            </c:extLst>
          </c:dPt>
          <c:errBars>
            <c:errBarType val="both"/>
            <c:errValType val="cust"/>
            <c:noEndCap val="0"/>
            <c:plus>
              <c:numRef>
                <c:f>Results!$G$4:$G$6</c:f>
                <c:numCache>
                  <c:formatCode>General</c:formatCode>
                  <c:ptCount val="3"/>
                  <c:pt idx="0">
                    <c:v>6.0487812906436636E-2</c:v>
                  </c:pt>
                  <c:pt idx="1">
                    <c:v>5.6513317917468074E-2</c:v>
                  </c:pt>
                  <c:pt idx="2">
                    <c:v>8.8497160828737736E-2</c:v>
                  </c:pt>
                </c:numCache>
              </c:numRef>
            </c:plus>
            <c:minus>
              <c:numRef>
                <c:f>Results!$G$4:$G$6</c:f>
                <c:numCache>
                  <c:formatCode>General</c:formatCode>
                  <c:ptCount val="3"/>
                  <c:pt idx="0">
                    <c:v>6.0487812906436636E-2</c:v>
                  </c:pt>
                  <c:pt idx="1">
                    <c:v>5.6513317917468074E-2</c:v>
                  </c:pt>
                  <c:pt idx="2">
                    <c:v>8.8497160828737736E-2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cat>
          <c:val>
            <c:numRef>
              <c:f>Results!$F$4:$F$6</c:f>
              <c:numCache>
                <c:formatCode>General</c:formatCode>
                <c:ptCount val="3"/>
                <c:pt idx="0">
                  <c:v>1.6582000000000001</c:v>
                </c:pt>
                <c:pt idx="1">
                  <c:v>1.7907999999999995</c:v>
                </c:pt>
                <c:pt idx="2">
                  <c:v>1.7244999999999999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8A-4FB3-B27C-09D49626D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900383"/>
        <c:axId val="1666355263"/>
      </c:barChart>
      <c:catAx>
        <c:axId val="16289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55263"/>
        <c:crosses val="autoZero"/>
        <c:auto val="1"/>
        <c:lblAlgn val="ctr"/>
        <c:lblOffset val="100"/>
        <c:noMultiLvlLbl val="0"/>
      </c:catAx>
      <c:valAx>
        <c:axId val="166635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00383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Body</a:t>
            </a:r>
            <a:r>
              <a:rPr lang="en-US" baseline="0"/>
              <a:t> mass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AFF-402C-86BE-ADE205901916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AFF-402C-86BE-ADE205901916}"/>
              </c:ext>
            </c:extLst>
          </c:dPt>
          <c:errBars>
            <c:errBarType val="both"/>
            <c:errValType val="cust"/>
            <c:noEndCap val="0"/>
            <c:plus>
              <c:numRef>
                <c:f>Results!$I$4:$I$6</c:f>
                <c:numCache>
                  <c:formatCode>General</c:formatCode>
                  <c:ptCount val="3"/>
                  <c:pt idx="0">
                    <c:v>6.1720532091296221</c:v>
                  </c:pt>
                  <c:pt idx="1">
                    <c:v>9.8410818983126092</c:v>
                  </c:pt>
                  <c:pt idx="2">
                    <c:v>9.8410818983126092</c:v>
                  </c:pt>
                </c:numCache>
              </c:numRef>
            </c:plus>
            <c:minus>
              <c:numRef>
                <c:f>Results!$I$4:$I$6</c:f>
                <c:numCache>
                  <c:formatCode>General</c:formatCode>
                  <c:ptCount val="3"/>
                  <c:pt idx="0">
                    <c:v>6.1720532091296221</c:v>
                  </c:pt>
                  <c:pt idx="1">
                    <c:v>9.8410818983126092</c:v>
                  </c:pt>
                  <c:pt idx="2">
                    <c:v>9.8410818983126092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cat>
          <c:val>
            <c:numRef>
              <c:f>Results!$H$4:$H$6</c:f>
              <c:numCache>
                <c:formatCode>General</c:formatCode>
                <c:ptCount val="3"/>
                <c:pt idx="0">
                  <c:v>58.438000000000002</c:v>
                </c:pt>
                <c:pt idx="1">
                  <c:v>73.010000000000005</c:v>
                </c:pt>
                <c:pt idx="2">
                  <c:v>65.723999999999975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FF-402C-86BE-ADE205901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900383"/>
        <c:axId val="1666355263"/>
      </c:barChart>
      <c:catAx>
        <c:axId val="16289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55263"/>
        <c:crosses val="autoZero"/>
        <c:auto val="1"/>
        <c:lblAlgn val="ctr"/>
        <c:lblOffset val="100"/>
        <c:noMultiLvlLbl val="0"/>
      </c:catAx>
      <c:valAx>
        <c:axId val="166635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00383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Running</a:t>
            </a:r>
            <a:r>
              <a:rPr lang="en-US" baseline="0"/>
              <a:t> days a week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F82-4E44-95A0-124A61775FA3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F82-4E44-95A0-124A61775FA3}"/>
              </c:ext>
            </c:extLst>
          </c:dPt>
          <c:errBars>
            <c:errBarType val="both"/>
            <c:errValType val="cust"/>
            <c:noEndCap val="0"/>
            <c:plus>
              <c:numRef>
                <c:f>Results!$K$4:$K$6</c:f>
                <c:numCache>
                  <c:formatCode>General</c:formatCode>
                  <c:ptCount val="3"/>
                  <c:pt idx="0">
                    <c:v>1.4033487645991787</c:v>
                  </c:pt>
                  <c:pt idx="1">
                    <c:v>1.4685825458167308</c:v>
                  </c:pt>
                  <c:pt idx="2">
                    <c:v>1.4445648745444686</c:v>
                  </c:pt>
                </c:numCache>
              </c:numRef>
            </c:plus>
            <c:minus>
              <c:numRef>
                <c:f>Results!$K$4:$K$6</c:f>
                <c:numCache>
                  <c:formatCode>General</c:formatCode>
                  <c:ptCount val="3"/>
                  <c:pt idx="0">
                    <c:v>1.4033487645991787</c:v>
                  </c:pt>
                  <c:pt idx="1">
                    <c:v>1.4685825458167308</c:v>
                  </c:pt>
                  <c:pt idx="2">
                    <c:v>1.4445648745444686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cat>
          <c:val>
            <c:numRef>
              <c:f>Results!$J$4:$J$6</c:f>
              <c:numCache>
                <c:formatCode>General</c:formatCode>
                <c:ptCount val="3"/>
                <c:pt idx="0">
                  <c:v>4.5</c:v>
                </c:pt>
                <c:pt idx="1">
                  <c:v>4.08</c:v>
                </c:pt>
                <c:pt idx="2">
                  <c:v>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82-4E44-95A0-124A61775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900383"/>
        <c:axId val="1666355263"/>
      </c:barChart>
      <c:catAx>
        <c:axId val="16289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55263"/>
        <c:crosses val="autoZero"/>
        <c:auto val="1"/>
        <c:lblAlgn val="ctr"/>
        <c:lblOffset val="100"/>
        <c:noMultiLvlLbl val="0"/>
      </c:catAx>
      <c:valAx>
        <c:axId val="166635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00383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Lactate</a:t>
            </a:r>
            <a:r>
              <a:rPr lang="en-US" baseline="0"/>
              <a:t> </a:t>
            </a:r>
            <a:r>
              <a:rPr lang="en-US"/>
              <a:t>Threshold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663-45CE-A051-D7254B68E4A5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663-45CE-A051-D7254B68E4A5}"/>
              </c:ext>
            </c:extLst>
          </c:dPt>
          <c:errBars>
            <c:errBarType val="both"/>
            <c:errValType val="cust"/>
            <c:noEndCap val="0"/>
            <c:plus>
              <c:numRef>
                <c:f>Results!$Q$4:$Q$6</c:f>
                <c:numCache>
                  <c:formatCode>General</c:formatCode>
                  <c:ptCount val="3"/>
                  <c:pt idx="0">
                    <c:v>1.1488887707002815</c:v>
                  </c:pt>
                  <c:pt idx="1">
                    <c:v>0.96241900891884191</c:v>
                  </c:pt>
                  <c:pt idx="2">
                    <c:v>1.2389313189228988</c:v>
                  </c:pt>
                </c:numCache>
              </c:numRef>
            </c:plus>
            <c:minus>
              <c:numRef>
                <c:f>Results!$Q$4:$Q$6</c:f>
                <c:numCache>
                  <c:formatCode>General</c:formatCode>
                  <c:ptCount val="3"/>
                  <c:pt idx="0">
                    <c:v>1.1488887707002815</c:v>
                  </c:pt>
                  <c:pt idx="1">
                    <c:v>0.96241900891884191</c:v>
                  </c:pt>
                  <c:pt idx="2">
                    <c:v>1.2389313189228988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cat>
          <c:val>
            <c:numRef>
              <c:f>Results!$P$4:$P$6</c:f>
              <c:numCache>
                <c:formatCode>General</c:formatCode>
                <c:ptCount val="3"/>
                <c:pt idx="0">
                  <c:v>13.103589433426853</c:v>
                </c:pt>
                <c:pt idx="1">
                  <c:v>14.398140142136061</c:v>
                </c:pt>
                <c:pt idx="2">
                  <c:v>13.750864787781461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63-45CE-A051-D7254B68E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900383"/>
        <c:axId val="1666355263"/>
      </c:barChart>
      <c:catAx>
        <c:axId val="16289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55263"/>
        <c:crosses val="autoZero"/>
        <c:auto val="1"/>
        <c:lblAlgn val="ctr"/>
        <c:lblOffset val="100"/>
        <c:noMultiLvlLbl val="0"/>
      </c:catAx>
      <c:valAx>
        <c:axId val="166635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00383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KM</a:t>
            </a:r>
            <a:r>
              <a:rPr lang="en-US" baseline="0"/>
              <a:t> a week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2D4-438F-A48E-6CD51D45272F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2D4-438F-A48E-6CD51D45272F}"/>
              </c:ext>
            </c:extLst>
          </c:dPt>
          <c:errBars>
            <c:errBarType val="both"/>
            <c:errValType val="cust"/>
            <c:noEndCap val="0"/>
            <c:plus>
              <c:numRef>
                <c:f>Results!$M$4:$M$6</c:f>
                <c:numCache>
                  <c:formatCode>General</c:formatCode>
                  <c:ptCount val="3"/>
                  <c:pt idx="0">
                    <c:v>25.557952075346613</c:v>
                  </c:pt>
                  <c:pt idx="1">
                    <c:v>24.699800544514034</c:v>
                  </c:pt>
                  <c:pt idx="2">
                    <c:v>25.19296350374465</c:v>
                  </c:pt>
                </c:numCache>
              </c:numRef>
            </c:plus>
            <c:minus>
              <c:numRef>
                <c:f>Results!$M$4:$M$6</c:f>
                <c:numCache>
                  <c:formatCode>General</c:formatCode>
                  <c:ptCount val="3"/>
                  <c:pt idx="0">
                    <c:v>25.557952075346613</c:v>
                  </c:pt>
                  <c:pt idx="1">
                    <c:v>24.699800544514034</c:v>
                  </c:pt>
                  <c:pt idx="2">
                    <c:v>25.19296350374465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cat>
          <c:val>
            <c:numRef>
              <c:f>Results!$L$4:$L$6</c:f>
              <c:numCache>
                <c:formatCode>General</c:formatCode>
                <c:ptCount val="3"/>
                <c:pt idx="0">
                  <c:v>48.591999999999999</c:v>
                </c:pt>
                <c:pt idx="1">
                  <c:v>42.483999999999995</c:v>
                </c:pt>
                <c:pt idx="2">
                  <c:v>45.538000000000004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D4-438F-A48E-6CD51D452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900383"/>
        <c:axId val="1666355263"/>
      </c:barChart>
      <c:catAx>
        <c:axId val="16289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55263"/>
        <c:crosses val="autoZero"/>
        <c:auto val="1"/>
        <c:lblAlgn val="ctr"/>
        <c:lblOffset val="100"/>
        <c:noMultiLvlLbl val="0"/>
      </c:catAx>
      <c:valAx>
        <c:axId val="166635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00383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VO2max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622-4CE1-A4AB-8359A98D759D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622-4CE1-A4AB-8359A98D759D}"/>
              </c:ext>
            </c:extLst>
          </c:dPt>
          <c:errBars>
            <c:errBarType val="both"/>
            <c:errValType val="cust"/>
            <c:noEndCap val="0"/>
            <c:plus>
              <c:numRef>
                <c:f>Results!$S$4:$S$6</c:f>
                <c:numCache>
                  <c:formatCode>General</c:formatCode>
                  <c:ptCount val="3"/>
                  <c:pt idx="0">
                    <c:v>6.0927179400592646</c:v>
                  </c:pt>
                  <c:pt idx="1">
                    <c:v>7.0059610361816871</c:v>
                  </c:pt>
                  <c:pt idx="2">
                    <c:v>6.8002283352556558</c:v>
                  </c:pt>
                </c:numCache>
              </c:numRef>
            </c:plus>
            <c:minus>
              <c:numRef>
                <c:f>Results!$S$4:$S$6</c:f>
                <c:numCache>
                  <c:formatCode>General</c:formatCode>
                  <c:ptCount val="3"/>
                  <c:pt idx="0">
                    <c:v>6.0927179400592646</c:v>
                  </c:pt>
                  <c:pt idx="1">
                    <c:v>7.0059610361816871</c:v>
                  </c:pt>
                  <c:pt idx="2">
                    <c:v>6.8002283352556558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cat>
          <c:val>
            <c:numRef>
              <c:f>Results!$R$4:$R$6</c:f>
              <c:numCache>
                <c:formatCode>General</c:formatCode>
                <c:ptCount val="3"/>
                <c:pt idx="0">
                  <c:v>48.56363400907847</c:v>
                </c:pt>
                <c:pt idx="1">
                  <c:v>52.32680841804094</c:v>
                </c:pt>
                <c:pt idx="2">
                  <c:v>50.445221213559719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22-4CE1-A4AB-8359A98D7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900383"/>
        <c:axId val="1666355263"/>
      </c:barChart>
      <c:catAx>
        <c:axId val="16289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55263"/>
        <c:crosses val="autoZero"/>
        <c:auto val="1"/>
        <c:lblAlgn val="ctr"/>
        <c:lblOffset val="100"/>
        <c:noMultiLvlLbl val="0"/>
      </c:catAx>
      <c:valAx>
        <c:axId val="166635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00383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10K time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1C1-4152-AB27-85E23C9B8A19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1C1-4152-AB27-85E23C9B8A19}"/>
              </c:ext>
            </c:extLst>
          </c:dPt>
          <c:errBars>
            <c:errBarType val="both"/>
            <c:errValType val="cust"/>
            <c:noEndCap val="0"/>
            <c:plus>
              <c:numRef>
                <c:f>Results!$O$4:$O$6</c:f>
                <c:numCache>
                  <c:formatCode>General</c:formatCode>
                  <c:ptCount val="3"/>
                  <c:pt idx="0">
                    <c:v>4.3475372270655871E-3</c:v>
                  </c:pt>
                  <c:pt idx="1">
                    <c:v>2.7598364758430528E-3</c:v>
                  </c:pt>
                  <c:pt idx="2">
                    <c:v>4.1264039584648689E-3</c:v>
                  </c:pt>
                </c:numCache>
              </c:numRef>
            </c:plus>
            <c:minus>
              <c:numRef>
                <c:f>Results!$O$4:$O$6</c:f>
                <c:numCache>
                  <c:formatCode>General</c:formatCode>
                  <c:ptCount val="3"/>
                  <c:pt idx="0">
                    <c:v>4.3475372270655871E-3</c:v>
                  </c:pt>
                  <c:pt idx="1">
                    <c:v>2.7598364758430528E-3</c:v>
                  </c:pt>
                  <c:pt idx="2">
                    <c:v>4.1264039584648689E-3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cat>
          <c:val>
            <c:numRef>
              <c:f>Results!$N$4:$N$6</c:f>
              <c:numCache>
                <c:formatCode>[$-F400]h:mm:ss\ AM/PM</c:formatCode>
                <c:ptCount val="3"/>
                <c:pt idx="0">
                  <c:v>3.1660648148148146E-2</c:v>
                </c:pt>
                <c:pt idx="1">
                  <c:v>2.7729629629629625E-2</c:v>
                </c:pt>
                <c:pt idx="2">
                  <c:v>2.9695138888888882E-2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C1-4152-AB27-85E23C9B8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900383"/>
        <c:axId val="1666355263"/>
      </c:barChart>
      <c:catAx>
        <c:axId val="16289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55263"/>
        <c:crosses val="autoZero"/>
        <c:auto val="1"/>
        <c:lblAlgn val="ctr"/>
        <c:lblOffset val="100"/>
        <c:noMultiLvlLbl val="0"/>
      </c:catAx>
      <c:valAx>
        <c:axId val="166635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00383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Completed speeds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All</c:v>
          </c:tx>
          <c:spPr>
            <a:solidFill>
              <a:srgbClr val="7030A0"/>
            </a:solidFill>
            <a:ln>
              <a:noFill/>
              <a:prstDash val="solid"/>
            </a:ln>
          </c:spPr>
          <c:invertIfNegative val="0"/>
          <c:cat>
            <c:numRef>
              <c:f>Results!$Z$3:$AJ$3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Results!$Z$6:$AJ$6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97</c:v>
                </c:pt>
                <c:pt idx="4">
                  <c:v>87</c:v>
                </c:pt>
                <c:pt idx="5">
                  <c:v>75</c:v>
                </c:pt>
                <c:pt idx="6">
                  <c:v>58</c:v>
                </c:pt>
                <c:pt idx="7">
                  <c:v>39</c:v>
                </c:pt>
                <c:pt idx="8">
                  <c:v>12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9-43F1-84F8-21A9E03D6FEF}"/>
            </c:ext>
          </c:extLst>
        </c:ser>
        <c:ser>
          <c:idx val="1"/>
          <c:order val="1"/>
          <c:tx>
            <c:v>Females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Results!$Z$3:$AJ$3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Results!$Z$5:$AJ$5</c:f>
              <c:numCache>
                <c:formatCode>General</c:formatCode>
                <c:ptCount val="11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47</c:v>
                </c:pt>
                <c:pt idx="4">
                  <c:v>37</c:v>
                </c:pt>
                <c:pt idx="5">
                  <c:v>27</c:v>
                </c:pt>
                <c:pt idx="6">
                  <c:v>17</c:v>
                </c:pt>
                <c:pt idx="7">
                  <c:v>9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9-43F1-84F8-21A9E03D6FEF}"/>
            </c:ext>
          </c:extLst>
        </c:ser>
        <c:ser>
          <c:idx val="2"/>
          <c:order val="2"/>
          <c:tx>
            <c:v>Males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Results!$Z$3:$AJ$3</c:f>
              <c:numCache>
                <c:formatCode>General</c:formatCod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numCache>
            </c:numRef>
          </c:cat>
          <c:val>
            <c:numRef>
              <c:f>Results!$Z$4:$AJ$4</c:f>
              <c:numCache>
                <c:formatCode>General</c:formatCode>
                <c:ptCount val="11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48</c:v>
                </c:pt>
                <c:pt idx="6">
                  <c:v>41</c:v>
                </c:pt>
                <c:pt idx="7">
                  <c:v>30</c:v>
                </c:pt>
                <c:pt idx="8">
                  <c:v>11</c:v>
                </c:pt>
                <c:pt idx="9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69-43F1-84F8-21A9E03D6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029679"/>
        <c:axId val="63012207"/>
      </c:barChart>
      <c:catAx>
        <c:axId val="63029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 (km/h)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2207"/>
        <c:crosses val="autoZero"/>
        <c:auto val="1"/>
        <c:lblAlgn val="ctr"/>
        <c:lblOffset val="100"/>
        <c:noMultiLvlLbl val="0"/>
      </c:catAx>
      <c:valAx>
        <c:axId val="6301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 (n)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296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Submax Speeds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All</c:v>
          </c:tx>
          <c:spPr>
            <a:solidFill>
              <a:srgbClr val="7030A0"/>
            </a:solidFill>
            <a:ln>
              <a:noFill/>
              <a:prstDash val="solid"/>
            </a:ln>
          </c:spPr>
          <c:invertIfNegative val="0"/>
          <c:cat>
            <c:numRef>
              <c:f>Results!$AP$3:$AW$3</c:f>
              <c:numCache>
                <c:formatCode>General</c:formatCode>
                <c:ptCount val="8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</c:numCache>
            </c:numRef>
          </c:cat>
          <c:val>
            <c:numRef>
              <c:f>Results!$AP$6:$AW$6</c:f>
              <c:numCache>
                <c:formatCode>General</c:formatCode>
                <c:ptCount val="8"/>
                <c:pt idx="0">
                  <c:v>97</c:v>
                </c:pt>
                <c:pt idx="1">
                  <c:v>100</c:v>
                </c:pt>
                <c:pt idx="2">
                  <c:v>85</c:v>
                </c:pt>
                <c:pt idx="3">
                  <c:v>72</c:v>
                </c:pt>
                <c:pt idx="4">
                  <c:v>48</c:v>
                </c:pt>
                <c:pt idx="5">
                  <c:v>15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7-4EDE-AA01-412C2FBDB151}"/>
            </c:ext>
          </c:extLst>
        </c:ser>
        <c:ser>
          <c:idx val="1"/>
          <c:order val="1"/>
          <c:tx>
            <c:v>Females</c:v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Results!$AP$3:$AW$3</c:f>
              <c:numCache>
                <c:formatCode>General</c:formatCode>
                <c:ptCount val="8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</c:numCache>
            </c:numRef>
          </c:cat>
          <c:val>
            <c:numRef>
              <c:f>Results!$AP$5:$AW$5</c:f>
              <c:numCache>
                <c:formatCode>General</c:formatCode>
                <c:ptCount val="8"/>
                <c:pt idx="0">
                  <c:v>47</c:v>
                </c:pt>
                <c:pt idx="1">
                  <c:v>50</c:v>
                </c:pt>
                <c:pt idx="2">
                  <c:v>36</c:v>
                </c:pt>
                <c:pt idx="3">
                  <c:v>27</c:v>
                </c:pt>
                <c:pt idx="4">
                  <c:v>12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07-4EDE-AA01-412C2FBDB151}"/>
            </c:ext>
          </c:extLst>
        </c:ser>
        <c:ser>
          <c:idx val="2"/>
          <c:order val="2"/>
          <c:tx>
            <c:v>Males</c:v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Results!$AP$3:$AW$3</c:f>
              <c:numCache>
                <c:formatCode>General</c:formatCode>
                <c:ptCount val="8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</c:numCache>
            </c:numRef>
          </c:cat>
          <c:val>
            <c:numRef>
              <c:f>Results!$AP$4:$AW$4</c:f>
              <c:numCache>
                <c:formatCode>General</c:formatCode>
                <c:ptCount val="8"/>
                <c:pt idx="0">
                  <c:v>50</c:v>
                </c:pt>
                <c:pt idx="1">
                  <c:v>50</c:v>
                </c:pt>
                <c:pt idx="2">
                  <c:v>49</c:v>
                </c:pt>
                <c:pt idx="3">
                  <c:v>45</c:v>
                </c:pt>
                <c:pt idx="4">
                  <c:v>36</c:v>
                </c:pt>
                <c:pt idx="5">
                  <c:v>13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07-4EDE-AA01-412C2FBDB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083295"/>
        <c:axId val="98067903"/>
      </c:barChart>
      <c:catAx>
        <c:axId val="98083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Speed (km/h)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67903"/>
        <c:crosses val="autoZero"/>
        <c:auto val="1"/>
        <c:lblAlgn val="ctr"/>
        <c:lblOffset val="100"/>
        <c:noMultiLvlLbl val="0"/>
      </c:catAx>
      <c:valAx>
        <c:axId val="9806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(n)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8329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Sex</a:t>
            </a:r>
            <a:r>
              <a:rPr lang="en-GB" baseline="0"/>
              <a:t> distribution</a:t>
            </a:r>
            <a:endParaRPr lang="en-GB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CF-4B3A-85E6-B8EB8B409D73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CF-4B3A-85E6-B8EB8B409D73}"/>
              </c:ext>
            </c:extLst>
          </c:dPt>
          <c:cat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cat>
          <c:val>
            <c:numRef>
              <c:f>Results!$C$4:$C$6</c:f>
              <c:numCache>
                <c:formatCode>General</c:formatCode>
                <c:ptCount val="3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CF-4B3A-85E6-B8EB8B409D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047567"/>
        <c:axId val="1798969695"/>
      </c:barChart>
      <c:catAx>
        <c:axId val="165804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969695"/>
        <c:crosses val="autoZero"/>
        <c:auto val="1"/>
        <c:lblAlgn val="ctr"/>
        <c:lblOffset val="100"/>
        <c:noMultiLvlLbl val="0"/>
      </c:catAx>
      <c:valAx>
        <c:axId val="17989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047567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5FB-4671-9A4F-0478C86B5395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5FB-4671-9A4F-0478C86B5395}"/>
              </c:ext>
            </c:extLst>
          </c:dPt>
          <c:errBars>
            <c:errBarType val="both"/>
            <c:errValType val="cust"/>
            <c:noEndCap val="0"/>
            <c:plus>
              <c:numRef>
                <c:f>Results!$E$4:$E$6</c:f>
                <c:numCache>
                  <c:formatCode>General</c:formatCode>
                  <c:ptCount val="3"/>
                  <c:pt idx="0">
                    <c:v>9.7435693078636643</c:v>
                  </c:pt>
                  <c:pt idx="1">
                    <c:v>9.7512741187383032</c:v>
                  </c:pt>
                  <c:pt idx="2">
                    <c:v>9.7090814512116754</c:v>
                  </c:pt>
                </c:numCache>
              </c:numRef>
            </c:plus>
            <c:minus>
              <c:numRef>
                <c:f>Results!$E$4:$E$6</c:f>
                <c:numCache>
                  <c:formatCode>General</c:formatCode>
                  <c:ptCount val="3"/>
                  <c:pt idx="0">
                    <c:v>9.7435693078636643</c:v>
                  </c:pt>
                  <c:pt idx="1">
                    <c:v>9.7512741187383032</c:v>
                  </c:pt>
                  <c:pt idx="2">
                    <c:v>9.7090814512116754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cat>
          <c:val>
            <c:numRef>
              <c:f>Results!$D$4:$D$6</c:f>
              <c:numCache>
                <c:formatCode>General</c:formatCode>
                <c:ptCount val="3"/>
                <c:pt idx="0">
                  <c:v>33.96</c:v>
                </c:pt>
                <c:pt idx="1">
                  <c:v>34.880000000000003</c:v>
                </c:pt>
                <c:pt idx="2">
                  <c:v>34.42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FB-4671-9A4F-0478C86B5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900383"/>
        <c:axId val="1666355263"/>
      </c:barChart>
      <c:catAx>
        <c:axId val="16289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55263"/>
        <c:crosses val="autoZero"/>
        <c:auto val="1"/>
        <c:lblAlgn val="ctr"/>
        <c:lblOffset val="100"/>
        <c:noMultiLvlLbl val="0"/>
      </c:catAx>
      <c:valAx>
        <c:axId val="166635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00383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Height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D16-4D7E-90D1-2DC495B6B454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D16-4D7E-90D1-2DC495B6B454}"/>
              </c:ext>
            </c:extLst>
          </c:dPt>
          <c:errBars>
            <c:errBarType val="both"/>
            <c:errValType val="cust"/>
            <c:noEndCap val="0"/>
            <c:plus>
              <c:numRef>
                <c:f>Results!$G$4:$G$6</c:f>
                <c:numCache>
                  <c:formatCode>General</c:formatCode>
                  <c:ptCount val="3"/>
                  <c:pt idx="0">
                    <c:v>6.0487812906436636E-2</c:v>
                  </c:pt>
                  <c:pt idx="1">
                    <c:v>5.6513317917468074E-2</c:v>
                  </c:pt>
                  <c:pt idx="2">
                    <c:v>8.8497160828737736E-2</c:v>
                  </c:pt>
                </c:numCache>
              </c:numRef>
            </c:plus>
            <c:minus>
              <c:numRef>
                <c:f>Results!$G$4:$G$6</c:f>
                <c:numCache>
                  <c:formatCode>General</c:formatCode>
                  <c:ptCount val="3"/>
                  <c:pt idx="0">
                    <c:v>6.0487812906436636E-2</c:v>
                  </c:pt>
                  <c:pt idx="1">
                    <c:v>5.6513317917468074E-2</c:v>
                  </c:pt>
                  <c:pt idx="2">
                    <c:v>8.8497160828737736E-2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cat>
          <c:val>
            <c:numRef>
              <c:f>Results!$F$4:$F$6</c:f>
              <c:numCache>
                <c:formatCode>General</c:formatCode>
                <c:ptCount val="3"/>
                <c:pt idx="0">
                  <c:v>1.6582000000000001</c:v>
                </c:pt>
                <c:pt idx="1">
                  <c:v>1.7907999999999995</c:v>
                </c:pt>
                <c:pt idx="2">
                  <c:v>1.7244999999999999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16-4D7E-90D1-2DC495B6B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900383"/>
        <c:axId val="1666355263"/>
      </c:barChart>
      <c:catAx>
        <c:axId val="16289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55263"/>
        <c:crosses val="autoZero"/>
        <c:auto val="1"/>
        <c:lblAlgn val="ctr"/>
        <c:lblOffset val="100"/>
        <c:noMultiLvlLbl val="0"/>
      </c:catAx>
      <c:valAx>
        <c:axId val="166635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00383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Body</a:t>
            </a:r>
            <a:r>
              <a:rPr lang="en-US" baseline="0"/>
              <a:t> mass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098-47CA-A707-8D11FC50BFBE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098-47CA-A707-8D11FC50BFBE}"/>
              </c:ext>
            </c:extLst>
          </c:dPt>
          <c:errBars>
            <c:errBarType val="both"/>
            <c:errValType val="cust"/>
            <c:noEndCap val="0"/>
            <c:plus>
              <c:numRef>
                <c:f>Results!$I$4:$I$6</c:f>
                <c:numCache>
                  <c:formatCode>General</c:formatCode>
                  <c:ptCount val="3"/>
                  <c:pt idx="0">
                    <c:v>6.1720532091296221</c:v>
                  </c:pt>
                  <c:pt idx="1">
                    <c:v>9.8410818983126092</c:v>
                  </c:pt>
                  <c:pt idx="2">
                    <c:v>9.8410818983126092</c:v>
                  </c:pt>
                </c:numCache>
              </c:numRef>
            </c:plus>
            <c:minus>
              <c:numRef>
                <c:f>Results!$I$4:$I$6</c:f>
                <c:numCache>
                  <c:formatCode>General</c:formatCode>
                  <c:ptCount val="3"/>
                  <c:pt idx="0">
                    <c:v>6.1720532091296221</c:v>
                  </c:pt>
                  <c:pt idx="1">
                    <c:v>9.8410818983126092</c:v>
                  </c:pt>
                  <c:pt idx="2">
                    <c:v>9.8410818983126092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cat>
          <c:val>
            <c:numRef>
              <c:f>Results!$H$4:$H$6</c:f>
              <c:numCache>
                <c:formatCode>General</c:formatCode>
                <c:ptCount val="3"/>
                <c:pt idx="0">
                  <c:v>58.438000000000002</c:v>
                </c:pt>
                <c:pt idx="1">
                  <c:v>73.010000000000005</c:v>
                </c:pt>
                <c:pt idx="2">
                  <c:v>65.723999999999975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98-47CA-A707-8D11FC50B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900383"/>
        <c:axId val="1666355263"/>
      </c:barChart>
      <c:catAx>
        <c:axId val="16289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55263"/>
        <c:crosses val="autoZero"/>
        <c:auto val="1"/>
        <c:lblAlgn val="ctr"/>
        <c:lblOffset val="100"/>
        <c:noMultiLvlLbl val="0"/>
      </c:catAx>
      <c:valAx>
        <c:axId val="166635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00383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Running</a:t>
            </a:r>
            <a:r>
              <a:rPr lang="en-US" baseline="0"/>
              <a:t> days a week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BEB-402B-9AA5-C603CC92F23B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BEB-402B-9AA5-C603CC92F23B}"/>
              </c:ext>
            </c:extLst>
          </c:dPt>
          <c:errBars>
            <c:errBarType val="both"/>
            <c:errValType val="cust"/>
            <c:noEndCap val="0"/>
            <c:plus>
              <c:numRef>
                <c:f>Results!$K$4:$K$6</c:f>
                <c:numCache>
                  <c:formatCode>General</c:formatCode>
                  <c:ptCount val="3"/>
                  <c:pt idx="0">
                    <c:v>1.4033487645991787</c:v>
                  </c:pt>
                  <c:pt idx="1">
                    <c:v>1.4685825458167308</c:v>
                  </c:pt>
                  <c:pt idx="2">
                    <c:v>1.4445648745444686</c:v>
                  </c:pt>
                </c:numCache>
              </c:numRef>
            </c:plus>
            <c:minus>
              <c:numRef>
                <c:f>Results!$K$4:$K$6</c:f>
                <c:numCache>
                  <c:formatCode>General</c:formatCode>
                  <c:ptCount val="3"/>
                  <c:pt idx="0">
                    <c:v>1.4033487645991787</c:v>
                  </c:pt>
                  <c:pt idx="1">
                    <c:v>1.4685825458167308</c:v>
                  </c:pt>
                  <c:pt idx="2">
                    <c:v>1.4445648745444686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strRef>
              <c:f>Results!$B$4:$B$6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All</c:v>
                </c:pt>
              </c:strCache>
            </c:strRef>
          </c:cat>
          <c:val>
            <c:numRef>
              <c:f>Results!$J$4:$J$6</c:f>
              <c:numCache>
                <c:formatCode>General</c:formatCode>
                <c:ptCount val="3"/>
                <c:pt idx="0">
                  <c:v>4.5</c:v>
                </c:pt>
                <c:pt idx="1">
                  <c:v>4.08</c:v>
                </c:pt>
                <c:pt idx="2">
                  <c:v>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EB-402B-9AA5-C603CC92F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900383"/>
        <c:axId val="1666355263"/>
      </c:barChart>
      <c:catAx>
        <c:axId val="16289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55263"/>
        <c:crosses val="autoZero"/>
        <c:auto val="1"/>
        <c:lblAlgn val="ctr"/>
        <c:lblOffset val="100"/>
        <c:noMultiLvlLbl val="0"/>
      </c:catAx>
      <c:valAx>
        <c:axId val="166635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00383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6</xdr:row>
      <xdr:rowOff>185737</xdr:rowOff>
    </xdr:from>
    <xdr:to>
      <xdr:col>4</xdr:col>
      <xdr:colOff>359775</xdr:colOff>
      <xdr:row>18</xdr:row>
      <xdr:rowOff>59737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357188</xdr:colOff>
      <xdr:row>6</xdr:row>
      <xdr:rowOff>190499</xdr:rowOff>
    </xdr:from>
    <xdr:to>
      <xdr:col>8</xdr:col>
      <xdr:colOff>69263</xdr:colOff>
      <xdr:row>18</xdr:row>
      <xdr:rowOff>64499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57150</xdr:colOff>
      <xdr:row>6</xdr:row>
      <xdr:rowOff>190499</xdr:rowOff>
    </xdr:from>
    <xdr:to>
      <xdr:col>9</xdr:col>
      <xdr:colOff>1436100</xdr:colOff>
      <xdr:row>18</xdr:row>
      <xdr:rowOff>64499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1428750</xdr:colOff>
      <xdr:row>6</xdr:row>
      <xdr:rowOff>190499</xdr:rowOff>
    </xdr:from>
    <xdr:to>
      <xdr:col>12</xdr:col>
      <xdr:colOff>455025</xdr:colOff>
      <xdr:row>18</xdr:row>
      <xdr:rowOff>64499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447675</xdr:colOff>
      <xdr:row>6</xdr:row>
      <xdr:rowOff>190499</xdr:rowOff>
    </xdr:from>
    <xdr:to>
      <xdr:col>16</xdr:col>
      <xdr:colOff>159750</xdr:colOff>
      <xdr:row>18</xdr:row>
      <xdr:rowOff>64499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32127</xdr:colOff>
      <xdr:row>18</xdr:row>
      <xdr:rowOff>74746</xdr:rowOff>
    </xdr:from>
    <xdr:to>
      <xdr:col>9</xdr:col>
      <xdr:colOff>1405104</xdr:colOff>
      <xdr:row>29</xdr:row>
      <xdr:rowOff>139246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161925</xdr:colOff>
      <xdr:row>6</xdr:row>
      <xdr:rowOff>182879</xdr:rowOff>
    </xdr:from>
    <xdr:to>
      <xdr:col>18</xdr:col>
      <xdr:colOff>797925</xdr:colOff>
      <xdr:row>18</xdr:row>
      <xdr:rowOff>64499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326756</xdr:colOff>
      <xdr:row>18</xdr:row>
      <xdr:rowOff>74746</xdr:rowOff>
    </xdr:from>
    <xdr:to>
      <xdr:col>8</xdr:col>
      <xdr:colOff>39477</xdr:colOff>
      <xdr:row>29</xdr:row>
      <xdr:rowOff>139246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155145</xdr:colOff>
      <xdr:row>18</xdr:row>
      <xdr:rowOff>74746</xdr:rowOff>
    </xdr:from>
    <xdr:to>
      <xdr:col>4</xdr:col>
      <xdr:colOff>331519</xdr:colOff>
      <xdr:row>29</xdr:row>
      <xdr:rowOff>139246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1412607</xdr:colOff>
      <xdr:row>18</xdr:row>
      <xdr:rowOff>65223</xdr:rowOff>
    </xdr:from>
    <xdr:to>
      <xdr:col>14</xdr:col>
      <xdr:colOff>169512</xdr:colOff>
      <xdr:row>29</xdr:row>
      <xdr:rowOff>104937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180005</xdr:colOff>
      <xdr:row>18</xdr:row>
      <xdr:rowOff>81368</xdr:rowOff>
    </xdr:from>
    <xdr:to>
      <xdr:col>18</xdr:col>
      <xdr:colOff>766843</xdr:colOff>
      <xdr:row>29</xdr:row>
      <xdr:rowOff>104937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133350</xdr:colOff>
      <xdr:row>7</xdr:row>
      <xdr:rowOff>2857</xdr:rowOff>
    </xdr:from>
    <xdr:to>
      <xdr:col>4</xdr:col>
      <xdr:colOff>397875</xdr:colOff>
      <xdr:row>18</xdr:row>
      <xdr:rowOff>59737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395288</xdr:colOff>
      <xdr:row>6</xdr:row>
      <xdr:rowOff>182879</xdr:rowOff>
    </xdr:from>
    <xdr:to>
      <xdr:col>8</xdr:col>
      <xdr:colOff>107363</xdr:colOff>
      <xdr:row>18</xdr:row>
      <xdr:rowOff>64499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95250</xdr:colOff>
      <xdr:row>6</xdr:row>
      <xdr:rowOff>182879</xdr:rowOff>
    </xdr:from>
    <xdr:to>
      <xdr:col>9</xdr:col>
      <xdr:colOff>1474200</xdr:colOff>
      <xdr:row>18</xdr:row>
      <xdr:rowOff>64499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1466850</xdr:colOff>
      <xdr:row>6</xdr:row>
      <xdr:rowOff>182879</xdr:rowOff>
    </xdr:from>
    <xdr:to>
      <xdr:col>12</xdr:col>
      <xdr:colOff>493125</xdr:colOff>
      <xdr:row>18</xdr:row>
      <xdr:rowOff>64499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485775</xdr:colOff>
      <xdr:row>6</xdr:row>
      <xdr:rowOff>182879</xdr:rowOff>
    </xdr:from>
    <xdr:to>
      <xdr:col>16</xdr:col>
      <xdr:colOff>197850</xdr:colOff>
      <xdr:row>18</xdr:row>
      <xdr:rowOff>64499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O102"/>
  <sheetViews>
    <sheetView tabSelected="1" topLeftCell="BR70" zoomScale="90" zoomScaleNormal="90" workbookViewId="0">
      <selection activeCell="CK3" sqref="CK3"/>
    </sheetView>
  </sheetViews>
  <sheetFormatPr defaultRowHeight="14.4" x14ac:dyDescent="0.3"/>
  <cols>
    <col min="2" max="2" width="11.88671875" style="21" bestFit="1" customWidth="1"/>
    <col min="3" max="3" width="7.88671875" style="21" customWidth="1"/>
    <col min="4" max="4" width="4.88671875" style="21" bestFit="1" customWidth="1"/>
    <col min="5" max="5" width="7.6640625" style="21" bestFit="1" customWidth="1"/>
    <col min="6" max="6" width="6.33203125" style="21" bestFit="1" customWidth="1"/>
    <col min="7" max="7" width="21.6640625" style="21" bestFit="1" customWidth="1"/>
    <col min="8" max="8" width="11.109375" style="21" bestFit="1" customWidth="1"/>
    <col min="9" max="9" width="14.44140625" style="21" customWidth="1"/>
    <col min="10" max="10" width="17.33203125" style="21" bestFit="1" customWidth="1"/>
    <col min="11" max="11" width="13.6640625" style="21" customWidth="1"/>
    <col min="12" max="12" width="9.109375" style="21" bestFit="1" customWidth="1"/>
    <col min="13" max="13" width="5.5546875" style="21" bestFit="1" customWidth="1"/>
    <col min="14" max="14" width="8.109375" style="21" bestFit="1" customWidth="1"/>
    <col min="15" max="15" width="9.44140625" style="21" bestFit="1" customWidth="1"/>
    <col min="16" max="16" width="23.109375" style="21" bestFit="1" customWidth="1"/>
    <col min="17" max="17" width="19.44140625" style="21" bestFit="1" customWidth="1"/>
    <col min="18" max="18" width="14.88671875" style="21" customWidth="1"/>
    <col min="19" max="20" width="12" style="21" customWidth="1"/>
    <col min="59" max="63" width="9.109375" style="28" customWidth="1"/>
    <col min="64" max="64" width="9.109375" style="15" customWidth="1"/>
    <col min="66" max="66" width="11.88671875" style="21" bestFit="1" customWidth="1"/>
    <col min="67" max="77" width="9.109375" style="15" customWidth="1"/>
  </cols>
  <sheetData>
    <row r="1" spans="2:93" ht="15" customHeight="1" thickBot="1" x14ac:dyDescent="0.35">
      <c r="AE1" s="8"/>
      <c r="AO1" s="8"/>
      <c r="AY1" s="8"/>
      <c r="BA1" s="8"/>
      <c r="BY1" s="8"/>
    </row>
    <row r="2" spans="2:93" ht="42" customHeight="1" thickBot="1" x14ac:dyDescent="0.3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9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  <c r="AQ2" s="2" t="s">
        <v>41</v>
      </c>
      <c r="AR2" s="2" t="s">
        <v>42</v>
      </c>
      <c r="AS2" s="2" t="s">
        <v>43</v>
      </c>
      <c r="AT2" s="2" t="s">
        <v>44</v>
      </c>
      <c r="AU2" s="2" t="s">
        <v>45</v>
      </c>
      <c r="AV2" s="2" t="s">
        <v>46</v>
      </c>
      <c r="AW2" s="2" t="s">
        <v>47</v>
      </c>
      <c r="AX2" s="2" t="s">
        <v>48</v>
      </c>
      <c r="AY2" s="9" t="s">
        <v>49</v>
      </c>
      <c r="AZ2" s="2" t="s">
        <v>50</v>
      </c>
      <c r="BA2" s="2" t="s">
        <v>51</v>
      </c>
      <c r="BB2" s="22" t="s">
        <v>52</v>
      </c>
      <c r="BC2" s="22" t="s">
        <v>53</v>
      </c>
      <c r="BD2" s="22" t="s">
        <v>54</v>
      </c>
      <c r="BE2" s="22" t="s">
        <v>55</v>
      </c>
      <c r="BF2" s="23" t="s">
        <v>56</v>
      </c>
      <c r="BG2" s="29" t="s">
        <v>57</v>
      </c>
      <c r="BH2" s="29" t="s">
        <v>58</v>
      </c>
      <c r="BI2" s="29" t="s">
        <v>59</v>
      </c>
      <c r="BJ2" s="29" t="s">
        <v>60</v>
      </c>
      <c r="BK2" s="29" t="s">
        <v>61</v>
      </c>
      <c r="BL2" s="30" t="s">
        <v>62</v>
      </c>
      <c r="BM2" s="29" t="s">
        <v>63</v>
      </c>
      <c r="BN2" s="1" t="s">
        <v>64</v>
      </c>
      <c r="BO2" s="2" t="s">
        <v>65</v>
      </c>
      <c r="BP2" s="2" t="s">
        <v>66</v>
      </c>
      <c r="BQ2" s="2" t="s">
        <v>67</v>
      </c>
      <c r="BR2" s="2" t="s">
        <v>68</v>
      </c>
      <c r="BS2" s="2" t="s">
        <v>69</v>
      </c>
      <c r="BT2" s="2" t="s">
        <v>70</v>
      </c>
      <c r="BU2" s="2" t="s">
        <v>71</v>
      </c>
      <c r="BV2" s="2" t="s">
        <v>72</v>
      </c>
      <c r="BW2" s="2" t="s">
        <v>73</v>
      </c>
      <c r="BX2" s="2" t="s">
        <v>74</v>
      </c>
      <c r="BY2" s="9" t="s">
        <v>75</v>
      </c>
      <c r="BZ2" s="30" t="s">
        <v>76</v>
      </c>
      <c r="CA2" s="30" t="s">
        <v>77</v>
      </c>
      <c r="CB2" s="30" t="s">
        <v>78</v>
      </c>
      <c r="CC2" s="30" t="s">
        <v>79</v>
      </c>
      <c r="CD2" s="30" t="s">
        <v>80</v>
      </c>
      <c r="CE2" s="30" t="s">
        <v>81</v>
      </c>
      <c r="CF2" s="30" t="s">
        <v>82</v>
      </c>
      <c r="CG2" s="30" t="s">
        <v>83</v>
      </c>
      <c r="CH2" s="30" t="s">
        <v>84</v>
      </c>
      <c r="CI2" s="30" t="s">
        <v>85</v>
      </c>
      <c r="CJ2" s="30" t="s">
        <v>86</v>
      </c>
      <c r="CK2" s="30" t="s">
        <v>87</v>
      </c>
      <c r="CL2" s="30" t="s">
        <v>88</v>
      </c>
      <c r="CM2" s="30" t="s">
        <v>89</v>
      </c>
      <c r="CN2" s="30" t="s">
        <v>90</v>
      </c>
      <c r="CO2" s="30" t="s">
        <v>91</v>
      </c>
    </row>
    <row r="3" spans="2:93" x14ac:dyDescent="0.3">
      <c r="B3" s="21" t="s">
        <v>92</v>
      </c>
      <c r="C3" s="21" t="s">
        <v>93</v>
      </c>
      <c r="D3" s="21">
        <v>41</v>
      </c>
      <c r="E3" s="21">
        <v>1.84</v>
      </c>
      <c r="F3" s="21">
        <v>83.9</v>
      </c>
      <c r="G3" s="21">
        <v>5</v>
      </c>
      <c r="H3" s="21">
        <v>48</v>
      </c>
      <c r="I3" s="21" t="s">
        <v>94</v>
      </c>
      <c r="J3" s="5">
        <v>3.2222222222222222E-2</v>
      </c>
      <c r="K3" s="21">
        <v>12.53947971933899</v>
      </c>
      <c r="L3" s="21">
        <v>47.362669336591168</v>
      </c>
      <c r="M3" s="21">
        <v>1.1599999999999999</v>
      </c>
      <c r="N3" s="21">
        <v>185</v>
      </c>
      <c r="O3" s="21">
        <v>19</v>
      </c>
      <c r="P3" s="21">
        <v>14</v>
      </c>
      <c r="Q3" s="21">
        <v>15</v>
      </c>
      <c r="R3" s="21">
        <v>23.618336673346551</v>
      </c>
      <c r="S3" s="21">
        <v>58.527054108216433</v>
      </c>
      <c r="T3" s="21">
        <v>736</v>
      </c>
      <c r="U3" s="21">
        <v>15.10733333333333</v>
      </c>
      <c r="V3" s="21">
        <v>15.86828571428571</v>
      </c>
      <c r="W3" s="21">
        <v>17.03891891891892</v>
      </c>
      <c r="X3" s="21"/>
      <c r="Y3" s="21"/>
      <c r="Z3" s="21"/>
      <c r="AA3" s="21"/>
      <c r="AB3" s="21"/>
      <c r="AC3" s="21"/>
      <c r="AD3" s="21"/>
      <c r="AF3">
        <v>3090.6977963633331</v>
      </c>
      <c r="AG3">
        <v>3240.034582728571</v>
      </c>
      <c r="AH3">
        <v>3460.745114005405</v>
      </c>
      <c r="AQ3">
        <v>138.5151515151515</v>
      </c>
      <c r="AR3">
        <v>149.67567567567571</v>
      </c>
      <c r="AS3">
        <v>160.9736842105263</v>
      </c>
      <c r="BB3">
        <v>0.15723504376490829</v>
      </c>
      <c r="BC3">
        <v>0.45637372539707283</v>
      </c>
      <c r="BD3">
        <v>0.46803695628549058</v>
      </c>
      <c r="BE3">
        <v>0.44236969689516942</v>
      </c>
      <c r="BF3">
        <v>0.43131978936333332</v>
      </c>
      <c r="BG3" s="28">
        <v>1.0465044975280759</v>
      </c>
      <c r="BH3" s="28">
        <v>1.0478401184082029</v>
      </c>
      <c r="BI3" s="28">
        <v>0.28734428888222141</v>
      </c>
      <c r="BJ3" s="28">
        <v>0.2910818578507649</v>
      </c>
      <c r="BK3" s="28">
        <v>0.79282769203186043</v>
      </c>
      <c r="BL3" s="27">
        <v>1.9328703703703699E-2</v>
      </c>
      <c r="BM3">
        <v>19</v>
      </c>
      <c r="BN3">
        <v>8.4</v>
      </c>
      <c r="BO3" s="21">
        <v>15.344628121364609</v>
      </c>
      <c r="BP3" s="21">
        <v>16.10231945757387</v>
      </c>
      <c r="BQ3" s="21">
        <v>17.24305147777487</v>
      </c>
      <c r="BR3" s="21"/>
      <c r="BS3" s="21"/>
      <c r="BT3" s="21"/>
      <c r="BU3" s="21"/>
      <c r="BV3" s="21"/>
      <c r="BW3" s="21"/>
      <c r="BX3" s="21"/>
      <c r="BZ3">
        <v>9</v>
      </c>
      <c r="CA3">
        <v>11</v>
      </c>
      <c r="CB3">
        <v>12</v>
      </c>
      <c r="CC3">
        <v>14</v>
      </c>
      <c r="CD3">
        <v>16</v>
      </c>
      <c r="CE3">
        <v>19</v>
      </c>
    </row>
    <row r="4" spans="2:93" x14ac:dyDescent="0.3">
      <c r="B4" s="21" t="s">
        <v>95</v>
      </c>
      <c r="C4" s="21" t="s">
        <v>93</v>
      </c>
      <c r="D4" s="21">
        <v>31</v>
      </c>
      <c r="E4" s="21">
        <v>1.79</v>
      </c>
      <c r="F4" s="21">
        <v>72.8</v>
      </c>
      <c r="G4" s="21">
        <v>2</v>
      </c>
      <c r="H4" s="21">
        <v>20</v>
      </c>
      <c r="I4" s="21" t="s">
        <v>94</v>
      </c>
      <c r="J4" s="5">
        <v>2.9166666666666671E-2</v>
      </c>
      <c r="K4" s="21">
        <v>14.51158065034808</v>
      </c>
      <c r="L4" s="21">
        <v>61.060414969413927</v>
      </c>
      <c r="M4" s="21">
        <v>0.84</v>
      </c>
      <c r="N4" s="21">
        <v>189</v>
      </c>
      <c r="O4" s="21">
        <v>18</v>
      </c>
      <c r="P4" s="21">
        <v>17</v>
      </c>
      <c r="Q4" s="21">
        <v>17</v>
      </c>
      <c r="R4" s="21">
        <v>23.90081245768495</v>
      </c>
      <c r="S4" s="21">
        <v>59.448205822613403</v>
      </c>
      <c r="T4" s="21">
        <v>756.99255247122551</v>
      </c>
      <c r="U4" s="21">
        <v>11.355333333333331</v>
      </c>
      <c r="V4" s="21">
        <v>13.4765625</v>
      </c>
      <c r="W4" s="21">
        <v>14.92166666666666</v>
      </c>
      <c r="X4" s="21">
        <v>16.68129032258064</v>
      </c>
      <c r="Y4" s="21">
        <v>17.620540540540549</v>
      </c>
      <c r="Z4" s="21"/>
      <c r="AA4" s="21"/>
      <c r="AB4" s="21"/>
      <c r="AC4" s="21"/>
      <c r="AD4" s="21"/>
      <c r="AF4">
        <v>2372.0337505137932</v>
      </c>
      <c r="AG4">
        <v>2795.4296720468751</v>
      </c>
      <c r="AH4">
        <v>3091.7682857599989</v>
      </c>
      <c r="AI4">
        <v>3455.8178009967751</v>
      </c>
      <c r="AJ4">
        <v>3668.343097362163</v>
      </c>
      <c r="AQ4">
        <v>113.9032258064516</v>
      </c>
      <c r="AR4">
        <v>136.27272727272731</v>
      </c>
      <c r="AS4">
        <v>150.969696969697</v>
      </c>
      <c r="AT4">
        <v>163.24242424242419</v>
      </c>
      <c r="AU4">
        <v>171.73684210526321</v>
      </c>
      <c r="BB4">
        <v>0.17320022538311611</v>
      </c>
      <c r="BC4">
        <v>0.42885214532934629</v>
      </c>
      <c r="BD4">
        <v>0.43028800046812099</v>
      </c>
      <c r="BE4">
        <v>0.41606558350269612</v>
      </c>
      <c r="BF4">
        <v>0.4244464533494593</v>
      </c>
      <c r="BG4" s="28">
        <v>0.99658135825493299</v>
      </c>
      <c r="BH4" s="28">
        <v>1.0029867745203069</v>
      </c>
      <c r="BI4" s="28">
        <v>0.28038095148044961</v>
      </c>
      <c r="BJ4" s="28">
        <v>0.28266007467290621</v>
      </c>
      <c r="BK4" s="28">
        <v>0.79021593361237985</v>
      </c>
      <c r="BL4" s="27">
        <v>1.188657407407407E-2</v>
      </c>
      <c r="BM4">
        <v>18</v>
      </c>
      <c r="BN4">
        <v>9.5</v>
      </c>
      <c r="BO4" s="21">
        <v>11.813627311580809</v>
      </c>
      <c r="BP4" s="21">
        <v>13.804852132695659</v>
      </c>
      <c r="BQ4" s="21">
        <v>15.25476903586013</v>
      </c>
      <c r="BR4" s="21">
        <v>17.085131294497849</v>
      </c>
      <c r="BS4" s="21">
        <v>18.057744790854191</v>
      </c>
      <c r="BT4" s="21"/>
      <c r="BU4" s="21"/>
      <c r="BV4" s="21"/>
      <c r="BW4" s="21"/>
      <c r="BX4" s="21"/>
      <c r="CA4">
        <v>11</v>
      </c>
      <c r="CB4">
        <v>13</v>
      </c>
      <c r="CC4">
        <v>13</v>
      </c>
      <c r="CD4">
        <v>14</v>
      </c>
      <c r="CE4">
        <v>15</v>
      </c>
      <c r="CF4">
        <v>16</v>
      </c>
      <c r="CG4">
        <v>16</v>
      </c>
      <c r="CH4">
        <v>18</v>
      </c>
    </row>
    <row r="5" spans="2:93" x14ac:dyDescent="0.3">
      <c r="B5" s="21" t="s">
        <v>96</v>
      </c>
      <c r="C5" s="21" t="s">
        <v>93</v>
      </c>
      <c r="D5" s="21">
        <v>27</v>
      </c>
      <c r="E5" s="21">
        <v>1.9450000000000001</v>
      </c>
      <c r="F5" s="21">
        <v>75.3</v>
      </c>
      <c r="G5" s="21">
        <v>3</v>
      </c>
      <c r="H5" s="21">
        <v>20</v>
      </c>
      <c r="I5" s="21" t="s">
        <v>94</v>
      </c>
      <c r="J5" s="5">
        <v>2.6388888888888889E-2</v>
      </c>
      <c r="K5" s="21">
        <v>15.635604343302891</v>
      </c>
      <c r="L5" s="21">
        <v>47.949440794245241</v>
      </c>
      <c r="M5" s="21">
        <v>1.22</v>
      </c>
      <c r="N5" s="21">
        <v>199</v>
      </c>
      <c r="O5" s="21">
        <v>20</v>
      </c>
      <c r="P5" s="21">
        <v>18</v>
      </c>
      <c r="Q5" s="21">
        <v>18</v>
      </c>
      <c r="R5" s="21">
        <v>22.398243148278318</v>
      </c>
      <c r="S5" s="21">
        <v>48.755446240337307</v>
      </c>
      <c r="T5" s="21">
        <v>758</v>
      </c>
      <c r="U5" s="21">
        <v>11.973076923076921</v>
      </c>
      <c r="V5" s="21">
        <v>12.33</v>
      </c>
      <c r="W5" s="21">
        <v>13.23</v>
      </c>
      <c r="X5" s="21">
        <v>13.8916</v>
      </c>
      <c r="Y5" s="21">
        <v>15.45333333333333</v>
      </c>
      <c r="Z5" s="21">
        <v>15.585666666666659</v>
      </c>
      <c r="AA5" s="21"/>
      <c r="AB5" s="21"/>
      <c r="AC5" s="21"/>
      <c r="AD5" s="21"/>
      <c r="AF5">
        <v>2469.7696356461538</v>
      </c>
      <c r="AG5">
        <v>2495.442027982609</v>
      </c>
      <c r="AH5">
        <v>2684.7433254652178</v>
      </c>
      <c r="AI5">
        <v>2812.2397582600001</v>
      </c>
      <c r="AJ5">
        <v>3101.2201809166668</v>
      </c>
      <c r="AK5">
        <v>3116.8967110399999</v>
      </c>
      <c r="AQ5">
        <v>141.4814814814815</v>
      </c>
      <c r="AR5">
        <v>152.47999999999999</v>
      </c>
      <c r="AS5">
        <v>152.33333333333329</v>
      </c>
      <c r="AT5">
        <v>167.0740740740741</v>
      </c>
      <c r="AU5">
        <v>174.2307692307692</v>
      </c>
      <c r="AV5">
        <v>180.51612903225811</v>
      </c>
      <c r="BB5">
        <v>0.16204962169851339</v>
      </c>
      <c r="BC5">
        <v>0.4899964307499165</v>
      </c>
      <c r="BD5">
        <v>0.49208147473125791</v>
      </c>
      <c r="BE5">
        <v>0.448666308378175</v>
      </c>
      <c r="BF5">
        <v>0.45242279450177492</v>
      </c>
      <c r="BG5" s="28">
        <v>1.098490414318738</v>
      </c>
      <c r="BH5" s="28">
        <v>1.101215144535443</v>
      </c>
      <c r="BI5" s="28">
        <v>0.30538137725047487</v>
      </c>
      <c r="BJ5" s="28">
        <v>0.29920829165969709</v>
      </c>
      <c r="BK5" s="28">
        <v>0.84514722057290981</v>
      </c>
      <c r="BL5" s="27">
        <v>1.0706018518518519E-2</v>
      </c>
      <c r="BM5">
        <v>20</v>
      </c>
      <c r="BN5">
        <v>8.1999999999999993</v>
      </c>
      <c r="BO5" s="21">
        <v>12.21291700277799</v>
      </c>
      <c r="BP5" s="21">
        <v>12.438839483655419</v>
      </c>
      <c r="BQ5" s="21">
        <v>13.473661491030731</v>
      </c>
      <c r="BR5" s="21">
        <v>13.943783813256131</v>
      </c>
      <c r="BS5" s="21">
        <v>15.54515799226029</v>
      </c>
      <c r="BT5" s="21">
        <v>15.650498820119511</v>
      </c>
      <c r="BU5" s="21"/>
      <c r="BV5" s="21"/>
      <c r="BW5" s="21"/>
      <c r="BX5" s="21"/>
      <c r="BZ5">
        <v>8</v>
      </c>
      <c r="CA5">
        <v>10</v>
      </c>
      <c r="CB5">
        <v>12</v>
      </c>
      <c r="CC5">
        <v>13</v>
      </c>
      <c r="CD5">
        <v>15</v>
      </c>
      <c r="CE5">
        <v>16</v>
      </c>
      <c r="CF5">
        <v>17</v>
      </c>
      <c r="CG5">
        <v>18</v>
      </c>
      <c r="CH5">
        <v>20</v>
      </c>
    </row>
    <row r="6" spans="2:93" x14ac:dyDescent="0.3">
      <c r="B6" s="21" t="s">
        <v>97</v>
      </c>
      <c r="C6" s="21" t="s">
        <v>98</v>
      </c>
      <c r="D6" s="21">
        <v>45</v>
      </c>
      <c r="E6" s="21">
        <v>1.7130000000000001</v>
      </c>
      <c r="F6" s="21">
        <v>66.900000000000006</v>
      </c>
      <c r="G6" s="21">
        <v>5</v>
      </c>
      <c r="H6" s="21">
        <v>60</v>
      </c>
      <c r="I6" s="21" t="s">
        <v>94</v>
      </c>
      <c r="J6" s="5">
        <v>3.125E-2</v>
      </c>
      <c r="K6" s="21">
        <v>14.236637186712469</v>
      </c>
      <c r="L6" s="21">
        <v>62.63209509546585</v>
      </c>
      <c r="M6" s="21">
        <v>1.47</v>
      </c>
      <c r="N6" s="21">
        <v>169</v>
      </c>
      <c r="O6" s="21">
        <v>19</v>
      </c>
      <c r="P6" s="21">
        <v>16</v>
      </c>
      <c r="Q6" s="21">
        <v>16</v>
      </c>
      <c r="R6" s="21">
        <v>23.197407776669941</v>
      </c>
      <c r="S6" s="21">
        <v>62.420737786640082</v>
      </c>
      <c r="T6" s="21">
        <v>736</v>
      </c>
      <c r="U6" s="21">
        <v>11.5364705882353</v>
      </c>
      <c r="V6" s="21">
        <v>12.29705882352941</v>
      </c>
      <c r="W6" s="21">
        <v>13.065</v>
      </c>
      <c r="X6" s="21">
        <v>14.856086956521739</v>
      </c>
      <c r="Y6" s="21">
        <v>16.0092</v>
      </c>
      <c r="Z6" s="21"/>
      <c r="AA6" s="21"/>
      <c r="AB6" s="21"/>
      <c r="AC6" s="21"/>
      <c r="AD6" s="21"/>
      <c r="AF6">
        <v>2358.9612098176481</v>
      </c>
      <c r="AG6">
        <v>2490.8327755444438</v>
      </c>
      <c r="AH6">
        <v>2668.1015461649999</v>
      </c>
      <c r="AI6">
        <v>3024.6369788652169</v>
      </c>
      <c r="AJ6">
        <v>3236.2456235599998</v>
      </c>
      <c r="AQ6">
        <v>120.4210526315789</v>
      </c>
      <c r="AR6">
        <v>129.5</v>
      </c>
      <c r="AS6">
        <v>138.9545454545455</v>
      </c>
      <c r="AT6">
        <v>149.6521739130435</v>
      </c>
      <c r="AU6">
        <v>159.28</v>
      </c>
      <c r="BB6">
        <v>0.17299798419066689</v>
      </c>
      <c r="BC6">
        <v>0.43072216256305812</v>
      </c>
      <c r="BD6">
        <v>0.43263826866236132</v>
      </c>
      <c r="BE6">
        <v>0.40784938843779661</v>
      </c>
      <c r="BF6">
        <v>0.40577011848981598</v>
      </c>
      <c r="BG6" s="28">
        <v>0.97989150881767273</v>
      </c>
      <c r="BH6" s="28">
        <v>0.98300695419311523</v>
      </c>
      <c r="BI6" s="28">
        <v>0.26685160806595282</v>
      </c>
      <c r="BJ6" s="28">
        <v>0.26632911979699792</v>
      </c>
      <c r="BK6" s="28">
        <v>0.7315507684946061</v>
      </c>
      <c r="BL6" s="27">
        <v>1.008101851851852E-2</v>
      </c>
      <c r="BM6">
        <v>20</v>
      </c>
      <c r="BO6" s="21">
        <v>11.658931958591319</v>
      </c>
      <c r="BP6" s="21">
        <v>12.43551946017544</v>
      </c>
      <c r="BQ6" s="21">
        <v>13.259317601855219</v>
      </c>
      <c r="BR6" s="21">
        <v>15.053170957197249</v>
      </c>
      <c r="BS6" s="21">
        <v>16.182698927332439</v>
      </c>
      <c r="BT6" s="21"/>
      <c r="BU6" s="21"/>
      <c r="BV6" s="21"/>
      <c r="BW6" s="21"/>
      <c r="BX6" s="21"/>
      <c r="BZ6">
        <v>10</v>
      </c>
      <c r="CA6">
        <v>11</v>
      </c>
      <c r="CB6">
        <v>12</v>
      </c>
      <c r="CC6">
        <v>14</v>
      </c>
      <c r="CD6">
        <v>16</v>
      </c>
      <c r="CE6">
        <v>17</v>
      </c>
      <c r="CF6">
        <v>19</v>
      </c>
      <c r="CG6">
        <v>20</v>
      </c>
    </row>
    <row r="7" spans="2:93" x14ac:dyDescent="0.3">
      <c r="B7" s="21" t="s">
        <v>99</v>
      </c>
      <c r="C7" s="21" t="s">
        <v>98</v>
      </c>
      <c r="D7" s="21">
        <v>20</v>
      </c>
      <c r="E7" s="21">
        <v>1.629</v>
      </c>
      <c r="F7" s="21">
        <v>61.8</v>
      </c>
      <c r="G7" s="21">
        <v>4</v>
      </c>
      <c r="H7" s="21">
        <v>35</v>
      </c>
      <c r="I7" s="21" t="s">
        <v>94</v>
      </c>
      <c r="J7" s="5">
        <v>3.1597222222222221E-2</v>
      </c>
      <c r="K7" s="21">
        <v>13.149564967878611</v>
      </c>
      <c r="L7" s="21">
        <v>46.727080734088453</v>
      </c>
      <c r="M7" s="21">
        <v>1.07</v>
      </c>
      <c r="N7" s="21">
        <v>196</v>
      </c>
      <c r="O7" s="21">
        <v>19</v>
      </c>
      <c r="P7" s="21">
        <v>15</v>
      </c>
      <c r="Q7" s="21">
        <v>15</v>
      </c>
      <c r="R7" s="21">
        <v>23.736006289308062</v>
      </c>
      <c r="S7" s="21">
        <v>50.261006289308177</v>
      </c>
      <c r="T7" s="21">
        <v>738.99842767295593</v>
      </c>
      <c r="U7" s="21">
        <v>9.8658333333333346</v>
      </c>
      <c r="V7" s="21">
        <v>10.837096774193551</v>
      </c>
      <c r="W7" s="21">
        <v>11.86</v>
      </c>
      <c r="X7" s="21">
        <v>13.09470588235294</v>
      </c>
      <c r="Y7" s="21"/>
      <c r="Z7" s="21"/>
      <c r="AA7" s="21"/>
      <c r="AB7" s="21"/>
      <c r="AC7" s="21"/>
      <c r="AD7" s="21"/>
      <c r="AF7">
        <v>2015.5447567791671</v>
      </c>
      <c r="AG7">
        <v>2207.6465213129031</v>
      </c>
      <c r="AH7">
        <v>2405.0368382218749</v>
      </c>
      <c r="AI7">
        <v>2642.7035284588228</v>
      </c>
      <c r="AQ7">
        <v>146.7692307692308</v>
      </c>
      <c r="AR7">
        <v>156.84375</v>
      </c>
      <c r="AS7">
        <v>166.38235294117649</v>
      </c>
      <c r="AT7">
        <v>178.2222222222222</v>
      </c>
      <c r="BB7">
        <v>0.17414062496066099</v>
      </c>
      <c r="BC7">
        <v>0.39510028282663912</v>
      </c>
      <c r="BD7">
        <v>0.39162485625715199</v>
      </c>
      <c r="BE7">
        <v>0.36028241611118028</v>
      </c>
      <c r="BF7">
        <v>0.35564424483703833</v>
      </c>
      <c r="BG7" s="28">
        <v>0.8936287737587123</v>
      </c>
      <c r="BH7" s="28">
        <v>0.88575246901188087</v>
      </c>
      <c r="BI7" s="28">
        <v>0.26107766194561471</v>
      </c>
      <c r="BJ7" s="28">
        <v>0.26308400223335771</v>
      </c>
      <c r="BK7" s="28">
        <v>0.73930937861470336</v>
      </c>
      <c r="BL7" s="27">
        <v>1.4699074074074069E-2</v>
      </c>
      <c r="BM7">
        <v>17</v>
      </c>
      <c r="BO7" s="21">
        <v>10.026770619166159</v>
      </c>
      <c r="BP7" s="21">
        <v>10.98371991629031</v>
      </c>
      <c r="BQ7" s="21">
        <v>11.99308035793282</v>
      </c>
      <c r="BR7" s="21">
        <v>13.20997870676617</v>
      </c>
      <c r="BS7" s="21"/>
      <c r="BT7" s="21"/>
      <c r="BU7" s="21"/>
      <c r="BV7" s="21"/>
      <c r="BW7" s="21"/>
      <c r="BX7" s="21"/>
      <c r="BZ7">
        <v>8</v>
      </c>
      <c r="CA7">
        <v>11</v>
      </c>
      <c r="CB7">
        <v>12</v>
      </c>
      <c r="CC7">
        <v>15</v>
      </c>
      <c r="CD7">
        <v>16</v>
      </c>
      <c r="CE7">
        <v>19</v>
      </c>
      <c r="CF7">
        <v>20</v>
      </c>
    </row>
    <row r="8" spans="2:93" x14ac:dyDescent="0.3">
      <c r="B8" s="21" t="s">
        <v>100</v>
      </c>
      <c r="C8" s="21" t="s">
        <v>93</v>
      </c>
      <c r="D8" s="21">
        <v>27</v>
      </c>
      <c r="E8" s="21">
        <v>1.6659999999999999</v>
      </c>
      <c r="F8" s="21">
        <v>61.4</v>
      </c>
      <c r="G8" s="21">
        <v>4</v>
      </c>
      <c r="H8" s="21">
        <v>30</v>
      </c>
      <c r="I8" s="21" t="s">
        <v>94</v>
      </c>
      <c r="J8" s="5">
        <v>2.569444444444444E-2</v>
      </c>
      <c r="K8" s="21">
        <v>15.137513017079989</v>
      </c>
      <c r="L8" s="21">
        <v>52.908875538762217</v>
      </c>
      <c r="M8" s="21">
        <v>1.19</v>
      </c>
      <c r="N8" s="21">
        <v>179</v>
      </c>
      <c r="O8" s="21">
        <v>18</v>
      </c>
      <c r="P8" s="21">
        <v>18</v>
      </c>
      <c r="Q8" s="21">
        <v>19</v>
      </c>
      <c r="R8" s="21">
        <v>22.926380648105241</v>
      </c>
      <c r="S8" s="21">
        <v>49.422181652213602</v>
      </c>
      <c r="T8" s="21">
        <v>737.98858968507534</v>
      </c>
      <c r="U8" s="21">
        <v>10.616071428571431</v>
      </c>
      <c r="V8" s="21">
        <v>11.501875</v>
      </c>
      <c r="W8" s="21">
        <v>12.28</v>
      </c>
      <c r="X8" s="21">
        <v>12.932222222222221</v>
      </c>
      <c r="Y8" s="21">
        <v>13.76897435897436</v>
      </c>
      <c r="Z8" s="21">
        <v>14.172608695652171</v>
      </c>
      <c r="AA8" s="21"/>
      <c r="AB8" s="21"/>
      <c r="AC8" s="21"/>
      <c r="AD8" s="21"/>
      <c r="AF8">
        <v>2164.8455865964288</v>
      </c>
      <c r="AG8">
        <v>2335.3798857187498</v>
      </c>
      <c r="AH8">
        <v>2467.473598668571</v>
      </c>
      <c r="AI8">
        <v>2611.2280480055551</v>
      </c>
      <c r="AJ8">
        <v>2768.050071853846</v>
      </c>
      <c r="AK8">
        <v>2821.803420647826</v>
      </c>
      <c r="AQ8">
        <v>119.26666666666669</v>
      </c>
      <c r="AR8">
        <v>124.85294117647059</v>
      </c>
      <c r="AS8">
        <v>133.2820512820513</v>
      </c>
      <c r="AT8">
        <v>139.7179487179487</v>
      </c>
      <c r="AU8">
        <v>148.1904761904762</v>
      </c>
      <c r="AV8">
        <v>158.33333333333329</v>
      </c>
      <c r="BB8">
        <v>0.1531381152371783</v>
      </c>
      <c r="BC8">
        <v>0.37949546190627881</v>
      </c>
      <c r="BD8">
        <v>0.38807013844990368</v>
      </c>
      <c r="BE8">
        <v>0.37772465255330651</v>
      </c>
      <c r="BF8">
        <v>0.37288994949193333</v>
      </c>
      <c r="BG8" s="28">
        <v>0.90289123041529051</v>
      </c>
      <c r="BH8" s="28">
        <v>0.90718969157044316</v>
      </c>
      <c r="BI8" s="28">
        <v>0.26410116570150771</v>
      </c>
      <c r="BJ8" s="28">
        <v>0.26397940804543402</v>
      </c>
      <c r="BK8" s="28">
        <v>0.76095953900713309</v>
      </c>
      <c r="BL8" s="27">
        <v>1.850694444444444E-2</v>
      </c>
      <c r="BM8">
        <v>20</v>
      </c>
      <c r="BN8">
        <v>7.7</v>
      </c>
      <c r="BO8" s="21">
        <v>10.76619938211763</v>
      </c>
      <c r="BP8" s="21">
        <v>11.63832452453244</v>
      </c>
      <c r="BQ8" s="21">
        <v>12.360578415537759</v>
      </c>
      <c r="BR8" s="21">
        <v>13.049373933097421</v>
      </c>
      <c r="BS8" s="21">
        <v>13.83463252054681</v>
      </c>
      <c r="BT8" s="21">
        <v>14.20008120274861</v>
      </c>
      <c r="BU8" s="21"/>
      <c r="BV8" s="21"/>
      <c r="BW8" s="21"/>
      <c r="BX8" s="21"/>
      <c r="BZ8">
        <v>8</v>
      </c>
      <c r="CA8">
        <v>9</v>
      </c>
      <c r="CB8">
        <v>11</v>
      </c>
      <c r="CC8">
        <v>12</v>
      </c>
      <c r="CD8">
        <v>14</v>
      </c>
      <c r="CE8">
        <v>15</v>
      </c>
      <c r="CF8">
        <v>16</v>
      </c>
      <c r="CG8">
        <v>17</v>
      </c>
      <c r="CH8">
        <v>18</v>
      </c>
      <c r="CI8">
        <v>20</v>
      </c>
    </row>
    <row r="9" spans="2:93" x14ac:dyDescent="0.3">
      <c r="B9" s="21" t="s">
        <v>101</v>
      </c>
      <c r="C9" s="21" t="s">
        <v>93</v>
      </c>
      <c r="D9" s="21">
        <v>47</v>
      </c>
      <c r="E9" s="21">
        <v>1.7070000000000001</v>
      </c>
      <c r="F9" s="21">
        <v>69.400000000000006</v>
      </c>
      <c r="G9" s="21">
        <v>3</v>
      </c>
      <c r="H9" s="21">
        <v>60</v>
      </c>
      <c r="I9" s="21" t="s">
        <v>94</v>
      </c>
      <c r="J9" s="5">
        <v>3.125E-2</v>
      </c>
      <c r="K9" s="21">
        <v>14.214795539307239</v>
      </c>
      <c r="L9" s="21">
        <v>52.291552484918348</v>
      </c>
      <c r="M9" s="21">
        <v>1.04</v>
      </c>
      <c r="N9" s="21">
        <v>153</v>
      </c>
      <c r="O9" s="21">
        <v>19</v>
      </c>
      <c r="P9" s="21">
        <v>17</v>
      </c>
      <c r="Q9" s="21">
        <v>17</v>
      </c>
      <c r="R9" s="21">
        <v>23.45263157894728</v>
      </c>
      <c r="S9" s="21">
        <v>47.470542026708557</v>
      </c>
      <c r="T9" s="21">
        <v>739</v>
      </c>
      <c r="U9" s="21">
        <v>11.50074074074074</v>
      </c>
      <c r="V9" s="21">
        <v>13.331250000000001</v>
      </c>
      <c r="W9" s="21">
        <v>14.794375</v>
      </c>
      <c r="X9" s="21"/>
      <c r="Y9" s="21">
        <v>16.359696969696969</v>
      </c>
      <c r="Z9" s="21"/>
      <c r="AA9" s="21"/>
      <c r="AB9" s="21"/>
      <c r="AC9" s="21"/>
      <c r="AD9" s="21"/>
      <c r="AF9">
        <v>2338.3974659259261</v>
      </c>
      <c r="AG9">
        <v>2663.8365851677422</v>
      </c>
      <c r="AH9">
        <v>2974.3897169093739</v>
      </c>
      <c r="AJ9">
        <v>3248.318625109091</v>
      </c>
      <c r="AQ9">
        <v>107.8214285714286</v>
      </c>
      <c r="AR9">
        <v>116.969696969697</v>
      </c>
      <c r="AS9">
        <v>123.1515151515152</v>
      </c>
      <c r="AU9">
        <v>135</v>
      </c>
      <c r="BB9">
        <v>0.1579303025073972</v>
      </c>
      <c r="BC9">
        <v>0.42945299259237008</v>
      </c>
      <c r="BD9">
        <v>0.43132831406557037</v>
      </c>
      <c r="BE9">
        <v>0.40366623111294142</v>
      </c>
      <c r="BF9">
        <v>0.4020011878570271</v>
      </c>
      <c r="BG9" s="28">
        <v>0.97649314240975815</v>
      </c>
      <c r="BH9" s="28">
        <v>0.97705171532171931</v>
      </c>
      <c r="BI9" s="28">
        <v>0.28025275098398039</v>
      </c>
      <c r="BJ9" s="28">
        <v>0.2798907117948598</v>
      </c>
      <c r="BK9" s="28">
        <v>0.7302275711342614</v>
      </c>
      <c r="BL9" s="27">
        <v>2.8310185185185181E-2</v>
      </c>
      <c r="BM9">
        <v>20</v>
      </c>
      <c r="BN9">
        <v>5.4</v>
      </c>
      <c r="BO9" s="21">
        <v>11.645633816939441</v>
      </c>
      <c r="BP9" s="21">
        <v>13.42710151498369</v>
      </c>
      <c r="BQ9" s="21">
        <v>14.89570242434978</v>
      </c>
      <c r="BR9" s="21"/>
      <c r="BS9" s="21">
        <v>16.36876182645608</v>
      </c>
      <c r="BT9" s="21"/>
      <c r="BU9" s="21"/>
      <c r="BV9" s="21"/>
      <c r="BW9" s="21"/>
      <c r="BX9" s="21"/>
      <c r="BZ9">
        <v>7</v>
      </c>
      <c r="CA9">
        <v>10</v>
      </c>
      <c r="CB9">
        <v>12</v>
      </c>
      <c r="CC9">
        <v>12</v>
      </c>
      <c r="CD9">
        <v>13</v>
      </c>
      <c r="CE9">
        <v>14</v>
      </c>
      <c r="CF9">
        <v>17</v>
      </c>
      <c r="CG9">
        <v>19</v>
      </c>
      <c r="CH9">
        <v>20</v>
      </c>
    </row>
    <row r="10" spans="2:93" x14ac:dyDescent="0.3">
      <c r="B10" s="21" t="s">
        <v>102</v>
      </c>
      <c r="C10" s="21" t="s">
        <v>98</v>
      </c>
      <c r="D10" s="21">
        <v>25</v>
      </c>
      <c r="E10" s="21">
        <v>1.5569999999999999</v>
      </c>
      <c r="F10" s="21">
        <v>47.3</v>
      </c>
      <c r="G10" s="21">
        <v>4</v>
      </c>
      <c r="H10" s="21">
        <v>32</v>
      </c>
      <c r="I10" s="21" t="s">
        <v>94</v>
      </c>
      <c r="J10" s="5">
        <v>2.9560185185185189E-2</v>
      </c>
      <c r="K10" s="21">
        <v>12.749898681093001</v>
      </c>
      <c r="L10" s="21">
        <v>46.090814917124739</v>
      </c>
      <c r="M10" s="21">
        <v>1.27</v>
      </c>
      <c r="N10" s="21">
        <v>207</v>
      </c>
      <c r="O10" s="21">
        <v>16</v>
      </c>
      <c r="P10" s="21">
        <v>14</v>
      </c>
      <c r="Q10" s="21">
        <v>15</v>
      </c>
      <c r="R10" s="21">
        <v>21.31495664739893</v>
      </c>
      <c r="S10" s="21">
        <v>37.729768786127167</v>
      </c>
      <c r="T10" s="21">
        <v>751</v>
      </c>
      <c r="U10" s="21">
        <v>7.2081081081081093</v>
      </c>
      <c r="V10" s="21">
        <v>7.5412820512820486</v>
      </c>
      <c r="W10" s="21">
        <v>8.0689583333333346</v>
      </c>
      <c r="X10" s="21"/>
      <c r="Y10" s="21"/>
      <c r="Z10" s="21"/>
      <c r="AA10" s="21"/>
      <c r="AB10" s="21"/>
      <c r="AC10" s="21"/>
      <c r="AD10" s="21"/>
      <c r="AF10">
        <v>1445.7942476486489</v>
      </c>
      <c r="AG10">
        <v>1488.4540019842109</v>
      </c>
      <c r="AH10">
        <v>1582.26017934375</v>
      </c>
      <c r="AQ10">
        <v>156.84210526315789</v>
      </c>
      <c r="AR10">
        <v>176.41463414634151</v>
      </c>
      <c r="AS10">
        <v>188.9</v>
      </c>
      <c r="BB10">
        <v>0.14458816139103789</v>
      </c>
      <c r="BC10">
        <v>0.39022682458782598</v>
      </c>
      <c r="BD10">
        <v>0.38781551984634782</v>
      </c>
      <c r="BE10">
        <v>0.36873628348358639</v>
      </c>
      <c r="BF10">
        <v>0.36338125703296759</v>
      </c>
      <c r="BG10" s="28">
        <v>0.89412255271484975</v>
      </c>
      <c r="BH10" s="28">
        <v>0.89107072274935872</v>
      </c>
      <c r="BI10" s="28">
        <v>0.24762747359250831</v>
      </c>
      <c r="BJ10" s="28">
        <v>0.24799221109807959</v>
      </c>
      <c r="BK10" s="28">
        <v>0.66440336226789576</v>
      </c>
      <c r="BO10" s="21">
        <v>7.2429328131973234</v>
      </c>
      <c r="BP10" s="21">
        <v>7.4981424264949013</v>
      </c>
      <c r="BQ10" s="21">
        <v>8.0177340623165705</v>
      </c>
      <c r="BR10" s="21"/>
      <c r="BS10" s="21"/>
      <c r="BT10" s="21"/>
      <c r="BU10" s="21"/>
      <c r="BV10" s="21"/>
      <c r="BW10" s="21"/>
      <c r="BX10" s="21"/>
      <c r="BZ10">
        <v>6</v>
      </c>
      <c r="CA10">
        <v>7</v>
      </c>
      <c r="CB10">
        <v>9</v>
      </c>
      <c r="CC10">
        <v>12</v>
      </c>
      <c r="CD10">
        <v>16</v>
      </c>
      <c r="CE10">
        <v>19</v>
      </c>
    </row>
    <row r="11" spans="2:93" x14ac:dyDescent="0.3">
      <c r="B11" s="21" t="s">
        <v>103</v>
      </c>
      <c r="C11" s="21" t="s">
        <v>93</v>
      </c>
      <c r="D11" s="21">
        <v>49</v>
      </c>
      <c r="E11" s="21">
        <v>1.724</v>
      </c>
      <c r="F11" s="21">
        <v>63.3</v>
      </c>
      <c r="G11" s="21">
        <v>5</v>
      </c>
      <c r="H11" s="21">
        <v>75</v>
      </c>
      <c r="I11" s="21" t="s">
        <v>94</v>
      </c>
      <c r="J11" s="5">
        <v>2.777777777777778E-2</v>
      </c>
      <c r="K11" s="21">
        <v>14.55728121011944</v>
      </c>
      <c r="L11" s="21">
        <v>51.412403638335967</v>
      </c>
      <c r="M11" s="21">
        <v>1.04</v>
      </c>
      <c r="N11" s="21">
        <v>177</v>
      </c>
      <c r="O11" s="21">
        <v>19</v>
      </c>
      <c r="P11" s="21">
        <v>17</v>
      </c>
      <c r="Q11" s="21">
        <v>18</v>
      </c>
      <c r="R11" s="21">
        <v>22.64815068493138</v>
      </c>
      <c r="S11" s="21">
        <v>41.580136986301369</v>
      </c>
      <c r="T11" s="21">
        <v>746.33767123287669</v>
      </c>
      <c r="U11" s="21">
        <v>10.5496</v>
      </c>
      <c r="V11" s="21">
        <v>11.80681818181818</v>
      </c>
      <c r="W11" s="21">
        <v>12.110799999999999</v>
      </c>
      <c r="X11" s="21">
        <v>12.627878787878791</v>
      </c>
      <c r="Y11" s="21">
        <v>13.807297297297289</v>
      </c>
      <c r="Z11" s="21"/>
      <c r="AA11" s="21"/>
      <c r="AB11" s="21"/>
      <c r="AC11" s="21"/>
      <c r="AD11" s="21"/>
      <c r="AF11">
        <v>2149.9468284519999</v>
      </c>
      <c r="AG11">
        <v>2421.030679222727</v>
      </c>
      <c r="AH11">
        <v>2459.5708697720002</v>
      </c>
      <c r="AI11">
        <v>2564.628817527273</v>
      </c>
      <c r="AJ11">
        <v>2786.269876316218</v>
      </c>
      <c r="AQ11">
        <v>118.7307692307692</v>
      </c>
      <c r="AR11">
        <v>126.1666666666667</v>
      </c>
      <c r="AS11">
        <v>135.64285714285711</v>
      </c>
      <c r="AT11">
        <v>142.71428571428569</v>
      </c>
      <c r="AU11">
        <v>156</v>
      </c>
      <c r="BB11">
        <v>0.17455749032399839</v>
      </c>
      <c r="BC11">
        <v>0.42688909869859049</v>
      </c>
      <c r="BD11">
        <v>0.43499755560891129</v>
      </c>
      <c r="BE11">
        <v>0.39465402555295193</v>
      </c>
      <c r="BF11">
        <v>0.39538960882171131</v>
      </c>
      <c r="BG11" s="28">
        <v>0.96081475980246245</v>
      </c>
      <c r="BH11" s="28">
        <v>0.97163913588025674</v>
      </c>
      <c r="BI11" s="28">
        <v>0.26955938549626568</v>
      </c>
      <c r="BJ11" s="28">
        <v>0.26777471411601922</v>
      </c>
      <c r="BK11" s="28">
        <v>0.75777305215864033</v>
      </c>
      <c r="BL11" s="27">
        <v>1.606481481481482E-2</v>
      </c>
      <c r="BM11">
        <v>20</v>
      </c>
      <c r="BN11">
        <v>10</v>
      </c>
      <c r="BO11" s="21">
        <v>10.654892081336479</v>
      </c>
      <c r="BP11" s="21">
        <v>12.00656639670231</v>
      </c>
      <c r="BQ11" s="21">
        <v>12.200141661021529</v>
      </c>
      <c r="BR11" s="21">
        <v>12.779299242952771</v>
      </c>
      <c r="BS11" s="21">
        <v>13.95147739047909</v>
      </c>
      <c r="BT11" s="21"/>
      <c r="BU11" s="21"/>
      <c r="BV11" s="21"/>
      <c r="BW11" s="21"/>
      <c r="BX11" s="21"/>
      <c r="BZ11">
        <v>12</v>
      </c>
      <c r="CA11">
        <v>13</v>
      </c>
      <c r="CB11">
        <v>14</v>
      </c>
      <c r="CC11">
        <v>15</v>
      </c>
      <c r="CD11">
        <v>16</v>
      </c>
      <c r="CE11">
        <v>17</v>
      </c>
      <c r="CF11">
        <v>18</v>
      </c>
      <c r="CG11">
        <v>19</v>
      </c>
      <c r="CH11">
        <v>20</v>
      </c>
    </row>
    <row r="12" spans="2:93" x14ac:dyDescent="0.3">
      <c r="B12" s="21" t="s">
        <v>104</v>
      </c>
      <c r="C12" s="21" t="s">
        <v>93</v>
      </c>
      <c r="D12" s="21">
        <v>27</v>
      </c>
      <c r="E12" s="21">
        <v>1.7</v>
      </c>
      <c r="F12" s="21">
        <v>76.8</v>
      </c>
      <c r="G12" s="21">
        <v>3</v>
      </c>
      <c r="H12" s="21">
        <v>15</v>
      </c>
      <c r="I12" s="21" t="s">
        <v>94</v>
      </c>
      <c r="J12" s="5">
        <v>2.9861111111111109E-2</v>
      </c>
      <c r="K12" s="21">
        <v>13.11286301697816</v>
      </c>
      <c r="L12" s="21">
        <v>49.391253699652779</v>
      </c>
      <c r="M12" s="21">
        <v>1.19</v>
      </c>
      <c r="N12" s="21">
        <v>193</v>
      </c>
      <c r="O12" s="21">
        <v>19</v>
      </c>
      <c r="P12" s="21">
        <v>15</v>
      </c>
      <c r="Q12" s="21">
        <v>15</v>
      </c>
      <c r="R12" s="21">
        <v>22.429656419529799</v>
      </c>
      <c r="S12" s="21">
        <v>41.761301989150091</v>
      </c>
      <c r="T12" s="21">
        <v>739</v>
      </c>
      <c r="U12" s="21">
        <v>13.08391304347826</v>
      </c>
      <c r="V12" s="21">
        <v>14.38590909090909</v>
      </c>
      <c r="W12" s="21">
        <v>15.852499999999999</v>
      </c>
      <c r="X12" s="21">
        <v>16.50290322580646</v>
      </c>
      <c r="Y12" s="21"/>
      <c r="Z12" s="21"/>
      <c r="AA12" s="21"/>
      <c r="AB12" s="21"/>
      <c r="AC12" s="21"/>
      <c r="AD12" s="21"/>
      <c r="AF12">
        <v>2638.846811582609</v>
      </c>
      <c r="AG12">
        <v>2880.639890640909</v>
      </c>
      <c r="AH12">
        <v>3122.2702257481492</v>
      </c>
      <c r="AI12">
        <v>3258.5161905612908</v>
      </c>
      <c r="AQ12">
        <v>127.76</v>
      </c>
      <c r="AR12">
        <v>146.125</v>
      </c>
      <c r="AS12">
        <v>159.7931034482759</v>
      </c>
      <c r="AT12">
        <v>172.53125</v>
      </c>
      <c r="BB12">
        <v>0.17341847316138351</v>
      </c>
      <c r="BC12">
        <v>0.41099358737828617</v>
      </c>
      <c r="BD12">
        <v>0.41225067860342002</v>
      </c>
      <c r="BE12">
        <v>0.38677220020053471</v>
      </c>
      <c r="BF12">
        <v>0.38451684089358718</v>
      </c>
      <c r="BG12" s="28">
        <v>0.95328096383147765</v>
      </c>
      <c r="BH12" s="28">
        <v>0.9541538109381994</v>
      </c>
      <c r="BI12" s="28">
        <v>0.27673084807789122</v>
      </c>
      <c r="BJ12" s="28">
        <v>0.2759684804416484</v>
      </c>
      <c r="BK12" s="28">
        <v>0.74628261261516138</v>
      </c>
      <c r="BL12" s="27">
        <v>1.5659722222222221E-2</v>
      </c>
      <c r="BM12">
        <v>20</v>
      </c>
      <c r="BO12" s="21">
        <v>13.12681513608956</v>
      </c>
      <c r="BP12" s="21">
        <v>14.47713908051643</v>
      </c>
      <c r="BQ12" s="21">
        <v>15.76020158505008</v>
      </c>
      <c r="BR12" s="21">
        <v>16.467473151352671</v>
      </c>
      <c r="BS12" s="21"/>
      <c r="BT12" s="21"/>
      <c r="BU12" s="21"/>
      <c r="BV12" s="21"/>
      <c r="BW12" s="21"/>
      <c r="BX12" s="21"/>
      <c r="BZ12">
        <v>10</v>
      </c>
      <c r="CA12">
        <v>12</v>
      </c>
      <c r="CB12">
        <v>15</v>
      </c>
      <c r="CC12">
        <v>16</v>
      </c>
      <c r="CD12">
        <v>18</v>
      </c>
      <c r="CE12">
        <v>19</v>
      </c>
      <c r="CF12">
        <v>20</v>
      </c>
    </row>
    <row r="13" spans="2:93" x14ac:dyDescent="0.3">
      <c r="B13" s="21" t="s">
        <v>105</v>
      </c>
      <c r="C13" s="21" t="s">
        <v>93</v>
      </c>
      <c r="D13" s="21">
        <v>48</v>
      </c>
      <c r="E13" s="21">
        <v>1.833</v>
      </c>
      <c r="F13" s="21">
        <v>80.7</v>
      </c>
      <c r="G13" s="21">
        <v>2</v>
      </c>
      <c r="H13" s="21">
        <v>15</v>
      </c>
      <c r="I13" s="21" t="s">
        <v>94</v>
      </c>
      <c r="J13" s="5">
        <v>2.9166666666666671E-2</v>
      </c>
      <c r="K13" s="21">
        <v>12.99840260168266</v>
      </c>
      <c r="L13" s="21">
        <v>45.780980673440723</v>
      </c>
      <c r="M13" s="21">
        <v>1.48</v>
      </c>
      <c r="N13" s="21">
        <v>190</v>
      </c>
      <c r="O13" s="21">
        <v>20</v>
      </c>
      <c r="P13" s="21">
        <v>15</v>
      </c>
      <c r="Q13" s="21">
        <v>16</v>
      </c>
      <c r="R13" s="21">
        <v>22.78253588516738</v>
      </c>
      <c r="S13" s="21">
        <v>39.310207336523128</v>
      </c>
      <c r="T13" s="21">
        <v>739</v>
      </c>
      <c r="U13" s="21">
        <v>13.9</v>
      </c>
      <c r="V13" s="21">
        <v>14.988799999999999</v>
      </c>
      <c r="W13" s="21"/>
      <c r="X13" s="21"/>
      <c r="Y13" s="21"/>
      <c r="Z13" s="21"/>
      <c r="AA13" s="21"/>
      <c r="AB13" s="21"/>
      <c r="AC13" s="21"/>
      <c r="AD13" s="21"/>
      <c r="AF13">
        <v>2781.777571622727</v>
      </c>
      <c r="AG13">
        <v>2990.9219974520001</v>
      </c>
      <c r="AQ13">
        <v>139.17391304347831</v>
      </c>
      <c r="AR13">
        <v>152.03846153846149</v>
      </c>
      <c r="BB13">
        <v>0.1805082860331049</v>
      </c>
      <c r="BC13">
        <v>0.46181701559967769</v>
      </c>
      <c r="BD13">
        <v>0.464756085219455</v>
      </c>
      <c r="BE13">
        <v>0.44230054094250548</v>
      </c>
      <c r="BF13">
        <v>0.43792549535177627</v>
      </c>
      <c r="BG13" s="28">
        <v>1.0641391521845109</v>
      </c>
      <c r="BH13" s="28">
        <v>1.063287429320507</v>
      </c>
      <c r="BI13" s="28">
        <v>0.30804185783796068</v>
      </c>
      <c r="BJ13" s="28">
        <v>0.29916406430792553</v>
      </c>
      <c r="BK13" s="28">
        <v>0.76928670924749132</v>
      </c>
      <c r="BL13" s="27">
        <v>1.1446759259259261E-2</v>
      </c>
      <c r="BM13">
        <v>20</v>
      </c>
      <c r="BN13">
        <v>9.1</v>
      </c>
      <c r="BO13" s="21">
        <v>13.924649251985359</v>
      </c>
      <c r="BP13" s="21">
        <v>15.45828539709021</v>
      </c>
      <c r="BQ13" s="21"/>
      <c r="BR13" s="21"/>
      <c r="BS13" s="21"/>
      <c r="BT13" s="21"/>
      <c r="BU13" s="21"/>
      <c r="BV13" s="21"/>
      <c r="BW13" s="21"/>
      <c r="BX13" s="21"/>
      <c r="BZ13">
        <v>8</v>
      </c>
      <c r="CA13">
        <v>10</v>
      </c>
      <c r="CB13">
        <v>13</v>
      </c>
      <c r="CC13">
        <v>15</v>
      </c>
      <c r="CD13">
        <v>17</v>
      </c>
      <c r="CE13">
        <v>19</v>
      </c>
      <c r="CF13">
        <v>20</v>
      </c>
    </row>
    <row r="14" spans="2:93" x14ac:dyDescent="0.3">
      <c r="B14" s="21" t="s">
        <v>106</v>
      </c>
      <c r="C14" s="21" t="s">
        <v>93</v>
      </c>
      <c r="D14" s="21">
        <v>46</v>
      </c>
      <c r="E14" s="21">
        <v>1.659</v>
      </c>
      <c r="F14" s="21">
        <v>62.4</v>
      </c>
      <c r="G14" s="21">
        <v>5</v>
      </c>
      <c r="H14" s="21">
        <v>45</v>
      </c>
      <c r="I14" s="21" t="s">
        <v>94</v>
      </c>
      <c r="J14" s="5">
        <v>2.7662037037037041E-2</v>
      </c>
      <c r="K14" s="21">
        <v>14.29170095310454</v>
      </c>
      <c r="L14" s="21">
        <v>51.706356368589738</v>
      </c>
      <c r="M14" s="21">
        <v>1.1000000000000001</v>
      </c>
      <c r="N14" s="21">
        <v>158</v>
      </c>
      <c r="O14" s="21">
        <v>19</v>
      </c>
      <c r="P14" s="21">
        <v>16</v>
      </c>
      <c r="Q14" s="21">
        <v>16</v>
      </c>
      <c r="R14" s="21">
        <v>23.290348330914139</v>
      </c>
      <c r="S14" s="21">
        <v>40.524673439767781</v>
      </c>
      <c r="T14" s="21">
        <v>739.99201741654576</v>
      </c>
      <c r="U14" s="21">
        <v>10.562142857142859</v>
      </c>
      <c r="V14" s="21">
        <v>11.514285714285711</v>
      </c>
      <c r="W14" s="21">
        <v>12.290967741935489</v>
      </c>
      <c r="X14" s="21">
        <v>13.187857142857141</v>
      </c>
      <c r="Y14" s="21">
        <v>14.254285714285709</v>
      </c>
      <c r="Z14" s="21"/>
      <c r="AA14" s="21"/>
      <c r="AB14" s="21"/>
      <c r="AC14" s="21"/>
      <c r="AD14" s="21"/>
      <c r="AF14">
        <v>2152.2274864999999</v>
      </c>
      <c r="AG14">
        <v>2317.196337375</v>
      </c>
      <c r="AH14">
        <v>2456.8988788032261</v>
      </c>
      <c r="AI14">
        <v>2641.6773386464288</v>
      </c>
      <c r="AJ14">
        <v>2828.938457928572</v>
      </c>
      <c r="AQ14">
        <v>114.6206896551724</v>
      </c>
      <c r="AR14">
        <v>161.0333333333333</v>
      </c>
      <c r="AS14">
        <v>128.58823529411771</v>
      </c>
      <c r="AT14">
        <v>136.93333333333331</v>
      </c>
      <c r="AU14">
        <v>144.36111111111109</v>
      </c>
      <c r="BB14">
        <v>0.1566452965757911</v>
      </c>
      <c r="BC14">
        <v>0.4067416426254491</v>
      </c>
      <c r="BD14">
        <v>0.41060978892666361</v>
      </c>
      <c r="BE14">
        <v>0.37605917232310521</v>
      </c>
      <c r="BF14">
        <v>0.37415723643694321</v>
      </c>
      <c r="BG14" s="28">
        <v>0.92748284231532707</v>
      </c>
      <c r="BH14" s="28">
        <v>0.93290567127141089</v>
      </c>
      <c r="BI14" s="28">
        <v>0.27716716513340828</v>
      </c>
      <c r="BJ14" s="28">
        <v>0.27683664584569301</v>
      </c>
      <c r="BK14" s="28">
        <v>0.72880574320663105</v>
      </c>
      <c r="BL14" s="27">
        <v>1.336805555555555E-2</v>
      </c>
      <c r="BM14">
        <v>20</v>
      </c>
      <c r="BO14" s="21">
        <v>10.677274473472769</v>
      </c>
      <c r="BP14" s="21">
        <v>11.609421989114621</v>
      </c>
      <c r="BQ14" s="21">
        <v>12.317752409439921</v>
      </c>
      <c r="BR14" s="21">
        <v>13.264719382060511</v>
      </c>
      <c r="BS14" s="21">
        <v>14.238286854819259</v>
      </c>
      <c r="BT14" s="21"/>
      <c r="BU14" s="21"/>
      <c r="BV14" s="21"/>
      <c r="BW14" s="21"/>
      <c r="BX14" s="21"/>
      <c r="BZ14">
        <v>8</v>
      </c>
      <c r="CA14">
        <v>11</v>
      </c>
      <c r="CB14">
        <v>12</v>
      </c>
      <c r="CC14">
        <v>13</v>
      </c>
      <c r="CD14">
        <v>15</v>
      </c>
      <c r="CE14">
        <v>17</v>
      </c>
      <c r="CF14">
        <v>19</v>
      </c>
      <c r="CG14">
        <v>20</v>
      </c>
    </row>
    <row r="15" spans="2:93" x14ac:dyDescent="0.3">
      <c r="B15" s="21" t="s">
        <v>107</v>
      </c>
      <c r="C15" s="21" t="s">
        <v>93</v>
      </c>
      <c r="D15" s="21">
        <v>41</v>
      </c>
      <c r="E15" s="21">
        <v>1.78</v>
      </c>
      <c r="F15" s="21">
        <v>77.8</v>
      </c>
      <c r="G15" s="21">
        <v>4</v>
      </c>
      <c r="H15" s="21">
        <v>45</v>
      </c>
      <c r="I15" s="21" t="s">
        <v>94</v>
      </c>
      <c r="J15" s="5">
        <v>2.7569444444444448E-2</v>
      </c>
      <c r="K15" s="21">
        <v>14.026649209708641</v>
      </c>
      <c r="L15" s="21">
        <v>46.875756436675239</v>
      </c>
      <c r="M15" s="21">
        <v>1.1299999999999999</v>
      </c>
      <c r="N15" s="21">
        <v>179</v>
      </c>
      <c r="O15" s="21">
        <v>19</v>
      </c>
      <c r="P15" s="21">
        <v>16</v>
      </c>
      <c r="Q15" s="21">
        <v>17</v>
      </c>
      <c r="R15" s="21">
        <v>23.252101506740861</v>
      </c>
      <c r="S15" s="21">
        <v>36.627279936558288</v>
      </c>
      <c r="T15" s="21">
        <v>738</v>
      </c>
      <c r="U15" s="21">
        <v>12.05190476190476</v>
      </c>
      <c r="V15" s="21">
        <v>13.223333333333329</v>
      </c>
      <c r="W15" s="21">
        <v>14.685</v>
      </c>
      <c r="X15" s="21">
        <v>15.66464285714286</v>
      </c>
      <c r="Y15" s="21">
        <v>17.092352941176468</v>
      </c>
      <c r="Z15" s="21"/>
      <c r="AA15" s="21"/>
      <c r="AB15" s="21"/>
      <c r="AC15" s="21"/>
      <c r="AD15" s="21"/>
      <c r="AF15">
        <v>2427.7222641809531</v>
      </c>
      <c r="AG15">
        <v>2644.8696134666661</v>
      </c>
      <c r="AH15">
        <v>2957.125932537499</v>
      </c>
      <c r="AI15">
        <v>3136.2460106214289</v>
      </c>
      <c r="AJ15">
        <v>3404.0168478000001</v>
      </c>
      <c r="AQ15">
        <v>124.4761904761905</v>
      </c>
      <c r="AR15">
        <v>135.75</v>
      </c>
      <c r="AS15">
        <v>142.96153846153851</v>
      </c>
      <c r="AT15">
        <v>152.23333333333329</v>
      </c>
      <c r="AU15">
        <v>162.86111111111109</v>
      </c>
      <c r="BB15">
        <v>0.16710981679312381</v>
      </c>
      <c r="BC15">
        <v>0.4265624398798859</v>
      </c>
      <c r="BD15">
        <v>0.43246727120730571</v>
      </c>
      <c r="BE15">
        <v>0.42642434379845789</v>
      </c>
      <c r="BF15">
        <v>0.4189467141472818</v>
      </c>
      <c r="BG15" s="28">
        <v>1.0034384870529169</v>
      </c>
      <c r="BH15" s="28">
        <v>1.0004410966237389</v>
      </c>
      <c r="BI15" s="28">
        <v>0.28702452896632658</v>
      </c>
      <c r="BJ15" s="28">
        <v>0.29053557959560988</v>
      </c>
      <c r="BK15" s="28">
        <v>0.7780602081616721</v>
      </c>
      <c r="BL15" s="27">
        <v>1.3171296296296301E-2</v>
      </c>
      <c r="BM15">
        <v>20</v>
      </c>
      <c r="BO15" s="21">
        <v>12.14653006954542</v>
      </c>
      <c r="BP15" s="21">
        <v>13.262037242121661</v>
      </c>
      <c r="BQ15" s="21">
        <v>14.79751559225183</v>
      </c>
      <c r="BR15" s="21">
        <v>15.74118620407118</v>
      </c>
      <c r="BS15" s="21">
        <v>17.127785686214679</v>
      </c>
      <c r="BT15" s="21"/>
      <c r="BU15" s="21"/>
      <c r="BV15" s="21"/>
      <c r="BW15" s="21"/>
      <c r="BX15" s="21"/>
      <c r="BZ15">
        <v>11</v>
      </c>
      <c r="CA15">
        <v>12</v>
      </c>
      <c r="CB15">
        <v>13</v>
      </c>
      <c r="CC15">
        <v>15</v>
      </c>
      <c r="CD15">
        <v>16</v>
      </c>
      <c r="CE15">
        <v>17</v>
      </c>
      <c r="CF15">
        <v>19</v>
      </c>
      <c r="CG15">
        <v>20</v>
      </c>
    </row>
    <row r="16" spans="2:93" x14ac:dyDescent="0.3">
      <c r="B16" s="21" t="s">
        <v>108</v>
      </c>
      <c r="C16" s="21" t="s">
        <v>98</v>
      </c>
      <c r="D16" s="21">
        <v>34</v>
      </c>
      <c r="E16" s="21">
        <v>1.5649999999999999</v>
      </c>
      <c r="F16" s="21">
        <v>50.9</v>
      </c>
      <c r="G16" s="21">
        <v>6</v>
      </c>
      <c r="H16" s="21">
        <v>90</v>
      </c>
      <c r="I16" s="21" t="s">
        <v>94</v>
      </c>
      <c r="J16" s="5">
        <v>2.6168981481481481E-2</v>
      </c>
      <c r="K16" s="21">
        <v>14.129391391734449</v>
      </c>
      <c r="L16" s="21">
        <v>54.276197146168947</v>
      </c>
      <c r="M16" s="21">
        <v>1.1599999999999999</v>
      </c>
      <c r="N16" s="21">
        <v>186</v>
      </c>
      <c r="O16" s="21">
        <v>20</v>
      </c>
      <c r="P16" s="21">
        <v>16</v>
      </c>
      <c r="Q16" s="21">
        <v>17</v>
      </c>
      <c r="R16" s="21">
        <v>23.49856655290116</v>
      </c>
      <c r="S16" s="21">
        <v>35.386348122866892</v>
      </c>
      <c r="T16" s="21">
        <v>745</v>
      </c>
      <c r="U16" s="21">
        <v>9.5784615384615375</v>
      </c>
      <c r="V16" s="21">
        <v>10.30034482758621</v>
      </c>
      <c r="W16" s="21">
        <v>11.07666666666667</v>
      </c>
      <c r="X16" s="21">
        <v>11.994705882352941</v>
      </c>
      <c r="Y16" s="21">
        <v>12.39941176470589</v>
      </c>
      <c r="Z16" s="21"/>
      <c r="AA16" s="21"/>
      <c r="AB16" s="21"/>
      <c r="AC16" s="21"/>
      <c r="AD16" s="21"/>
      <c r="AF16">
        <v>2001.760088819231</v>
      </c>
      <c r="AG16">
        <v>2149.399459539286</v>
      </c>
      <c r="AH16">
        <v>2300.63703618</v>
      </c>
      <c r="AI16">
        <v>2461.065189814286</v>
      </c>
      <c r="AJ16">
        <v>2535.505707076471</v>
      </c>
      <c r="AQ16">
        <v>121.4074074074074</v>
      </c>
      <c r="AR16">
        <v>133.1333333333333</v>
      </c>
      <c r="AS16">
        <v>142.83870967741939</v>
      </c>
      <c r="AT16">
        <v>155.80555555555549</v>
      </c>
      <c r="AU16">
        <v>165.59459459459461</v>
      </c>
      <c r="BB16">
        <v>0.1462938546562863</v>
      </c>
      <c r="BC16">
        <v>0.3866072115399487</v>
      </c>
      <c r="BD16">
        <v>0.37583016167471761</v>
      </c>
      <c r="BE16">
        <v>0.35289287623116999</v>
      </c>
      <c r="BF16">
        <v>0.35262935842126919</v>
      </c>
      <c r="BG16" s="28">
        <v>0.82415343558087073</v>
      </c>
      <c r="BH16" s="28">
        <v>0.81848786946605234</v>
      </c>
      <c r="BI16" s="28">
        <v>0.24787165510935361</v>
      </c>
      <c r="BJ16" s="28">
        <v>0.25063912214996381</v>
      </c>
      <c r="BK16" s="28">
        <v>0.74367934747653841</v>
      </c>
      <c r="BO16" s="21">
        <v>9.7407743152001203</v>
      </c>
      <c r="BP16" s="21">
        <v>10.59844777613147</v>
      </c>
      <c r="BQ16" s="21">
        <v>11.31991662162905</v>
      </c>
      <c r="BR16" s="21">
        <v>12.22279384539222</v>
      </c>
      <c r="BS16" s="21">
        <v>12.59206500916096</v>
      </c>
      <c r="BT16" s="21"/>
      <c r="BU16" s="21"/>
      <c r="BV16" s="21"/>
      <c r="BW16" s="21"/>
      <c r="BX16" s="21"/>
      <c r="BZ16">
        <v>9</v>
      </c>
      <c r="CA16">
        <v>11</v>
      </c>
      <c r="CB16">
        <v>12</v>
      </c>
      <c r="CC16">
        <v>13</v>
      </c>
      <c r="CD16">
        <v>15</v>
      </c>
      <c r="CE16">
        <v>17</v>
      </c>
      <c r="CF16">
        <v>18</v>
      </c>
      <c r="CG16">
        <v>20</v>
      </c>
    </row>
    <row r="17" spans="2:87" x14ac:dyDescent="0.3">
      <c r="B17" s="21" t="s">
        <v>109</v>
      </c>
      <c r="C17" s="21" t="s">
        <v>98</v>
      </c>
      <c r="D17" s="21">
        <v>45</v>
      </c>
      <c r="E17" s="21">
        <v>1.6439999999999999</v>
      </c>
      <c r="F17" s="21">
        <v>59.2</v>
      </c>
      <c r="G17" s="21">
        <v>6</v>
      </c>
      <c r="H17" s="21">
        <v>80</v>
      </c>
      <c r="I17" s="21" t="s">
        <v>94</v>
      </c>
      <c r="J17" s="5">
        <v>2.8287037037037041E-2</v>
      </c>
      <c r="K17" s="21">
        <v>13.41225167186504</v>
      </c>
      <c r="L17" s="21">
        <v>47.025349390653147</v>
      </c>
      <c r="M17" s="21">
        <v>1.36</v>
      </c>
      <c r="N17" s="21">
        <v>166</v>
      </c>
      <c r="O17" s="21">
        <v>19</v>
      </c>
      <c r="P17" s="21">
        <v>16</v>
      </c>
      <c r="Q17" s="21">
        <v>16</v>
      </c>
      <c r="R17" s="21">
        <v>23.359528759528761</v>
      </c>
      <c r="S17" s="21">
        <v>36.916839916839919</v>
      </c>
      <c r="T17" s="21">
        <v>743.42550242550237</v>
      </c>
      <c r="U17" s="21">
        <v>9.9122222222222245</v>
      </c>
      <c r="V17" s="21">
        <v>10.467241379310339</v>
      </c>
      <c r="W17" s="21">
        <v>11.42870967741935</v>
      </c>
      <c r="X17" s="21">
        <v>12.556285714285719</v>
      </c>
      <c r="Y17" s="21"/>
      <c r="Z17" s="21"/>
      <c r="AA17" s="21"/>
      <c r="AB17" s="21"/>
      <c r="AC17" s="21"/>
      <c r="AD17" s="21"/>
      <c r="AF17">
        <v>2020.224866262962</v>
      </c>
      <c r="AG17">
        <v>2128.520171207143</v>
      </c>
      <c r="AH17">
        <v>2276.9208109937499</v>
      </c>
      <c r="AI17">
        <v>2504.5023667657142</v>
      </c>
      <c r="AQ17">
        <v>120.06896551724139</v>
      </c>
      <c r="AR17">
        <v>129.3666666666667</v>
      </c>
      <c r="AS17">
        <v>140.21875</v>
      </c>
      <c r="AT17">
        <v>148.92105263157899</v>
      </c>
      <c r="BB17">
        <v>0.16849219441232141</v>
      </c>
      <c r="BC17">
        <v>0.41613553114500978</v>
      </c>
      <c r="BD17">
        <v>0.41614977856797142</v>
      </c>
      <c r="BE17">
        <v>0.38601112401976712</v>
      </c>
      <c r="BF17">
        <v>0.39314571061645248</v>
      </c>
      <c r="BG17" s="28">
        <v>0.89530055324236557</v>
      </c>
      <c r="BH17" s="28">
        <v>0.90130739212036137</v>
      </c>
      <c r="BI17" s="28">
        <v>0.2569139897226313</v>
      </c>
      <c r="BJ17" s="28">
        <v>0.25847680375962201</v>
      </c>
      <c r="BK17" s="28">
        <v>0.74569602731863638</v>
      </c>
      <c r="BM17">
        <v>19</v>
      </c>
      <c r="BN17">
        <v>3.9</v>
      </c>
      <c r="BO17" s="21">
        <v>10.07646897404628</v>
      </c>
      <c r="BP17" s="21">
        <v>10.6053875147079</v>
      </c>
      <c r="BQ17" s="21">
        <v>11.452563893256769</v>
      </c>
      <c r="BR17" s="21">
        <v>12.594370300602691</v>
      </c>
      <c r="BS17" s="21"/>
      <c r="BT17" s="21"/>
      <c r="BU17" s="21"/>
      <c r="BV17" s="21"/>
      <c r="BW17" s="21"/>
      <c r="BX17" s="21"/>
      <c r="BZ17">
        <v>9</v>
      </c>
      <c r="CA17">
        <v>10</v>
      </c>
      <c r="CB17">
        <v>11</v>
      </c>
      <c r="CC17">
        <v>12</v>
      </c>
      <c r="CD17">
        <v>14</v>
      </c>
      <c r="CE17">
        <v>17</v>
      </c>
      <c r="CF17">
        <v>19</v>
      </c>
    </row>
    <row r="18" spans="2:87" x14ac:dyDescent="0.3">
      <c r="B18" s="21" t="s">
        <v>110</v>
      </c>
      <c r="C18" s="21" t="s">
        <v>93</v>
      </c>
      <c r="D18" s="21">
        <v>29</v>
      </c>
      <c r="E18" s="21">
        <v>1.891</v>
      </c>
      <c r="F18" s="21">
        <v>83.6</v>
      </c>
      <c r="G18" s="21">
        <v>3</v>
      </c>
      <c r="H18" s="21">
        <v>37</v>
      </c>
      <c r="I18" s="21" t="s">
        <v>94</v>
      </c>
      <c r="J18" s="5">
        <v>2.777777777777778E-2</v>
      </c>
      <c r="K18" s="21">
        <v>14.27278398673138</v>
      </c>
      <c r="L18" s="21">
        <v>66.068475258452963</v>
      </c>
      <c r="M18" s="21">
        <v>0.66</v>
      </c>
      <c r="N18" s="21">
        <v>189</v>
      </c>
      <c r="O18" s="21">
        <v>20</v>
      </c>
      <c r="P18" s="21">
        <v>17</v>
      </c>
      <c r="Q18" s="21">
        <v>18</v>
      </c>
      <c r="R18" s="21">
        <v>22.498318496537951</v>
      </c>
      <c r="S18" s="21">
        <v>37.917903066271023</v>
      </c>
      <c r="T18" s="21">
        <v>739</v>
      </c>
      <c r="U18" s="21">
        <v>15.1105</v>
      </c>
      <c r="V18" s="21">
        <v>16.878499999999999</v>
      </c>
      <c r="W18" s="21">
        <v>19.296538461538461</v>
      </c>
      <c r="X18" s="21">
        <v>20.240000000000009</v>
      </c>
      <c r="Y18" s="21">
        <v>22.749743589743591</v>
      </c>
      <c r="Z18" s="21"/>
      <c r="AA18" s="21"/>
      <c r="AB18" s="21"/>
      <c r="AC18" s="21"/>
      <c r="AD18" s="21"/>
      <c r="AF18">
        <v>3221.03618843</v>
      </c>
      <c r="AG18">
        <v>3566.4402267649998</v>
      </c>
      <c r="AH18">
        <v>4080.3409675038461</v>
      </c>
      <c r="AI18">
        <v>4265.9971749692304</v>
      </c>
      <c r="AJ18">
        <v>4867.8884047230758</v>
      </c>
      <c r="AQ18">
        <v>152.19999999999999</v>
      </c>
      <c r="AR18">
        <v>161.80000000000001</v>
      </c>
      <c r="AS18">
        <v>169.46153846153851</v>
      </c>
      <c r="AT18">
        <v>175.40740740740739</v>
      </c>
      <c r="AU18">
        <v>181.48780487804879</v>
      </c>
      <c r="BB18">
        <v>0.19300652846537381</v>
      </c>
      <c r="BC18">
        <v>0.46107417586598259</v>
      </c>
      <c r="BD18">
        <v>0.46465459260205388</v>
      </c>
      <c r="BE18">
        <v>0.43429983810638412</v>
      </c>
      <c r="BF18">
        <v>0.44343418295131892</v>
      </c>
      <c r="BG18" s="28">
        <v>0.9965956644609324</v>
      </c>
      <c r="BH18" s="28">
        <v>1.0057064683792321</v>
      </c>
      <c r="BI18" s="28">
        <v>0.30278727345039308</v>
      </c>
      <c r="BJ18" s="28">
        <v>0.30092824913851668</v>
      </c>
      <c r="BK18" s="28">
        <v>0.88984893357991757</v>
      </c>
      <c r="BM18">
        <v>20</v>
      </c>
      <c r="BO18" s="21">
        <v>15.7792917658508</v>
      </c>
      <c r="BP18" s="21">
        <v>17.43039401524107</v>
      </c>
      <c r="BQ18" s="21">
        <v>19.928447549904359</v>
      </c>
      <c r="BR18" s="21">
        <v>20.769285159790119</v>
      </c>
      <c r="BS18" s="21">
        <v>23.64686378136124</v>
      </c>
      <c r="BT18" s="21"/>
      <c r="BU18" s="21"/>
      <c r="BV18" s="21"/>
      <c r="BW18" s="21"/>
      <c r="BX18" s="21"/>
      <c r="BZ18">
        <v>7</v>
      </c>
      <c r="CA18">
        <v>9</v>
      </c>
      <c r="CB18">
        <v>10</v>
      </c>
      <c r="CC18">
        <v>13</v>
      </c>
      <c r="CD18">
        <v>14</v>
      </c>
      <c r="CE18">
        <v>16</v>
      </c>
      <c r="CF18">
        <v>18</v>
      </c>
      <c r="CG18">
        <v>19</v>
      </c>
      <c r="CH18">
        <v>20</v>
      </c>
    </row>
    <row r="19" spans="2:87" x14ac:dyDescent="0.3">
      <c r="B19" s="21" t="s">
        <v>111</v>
      </c>
      <c r="C19" s="21" t="s">
        <v>93</v>
      </c>
      <c r="D19" s="21">
        <v>22</v>
      </c>
      <c r="E19" s="21">
        <v>1.7729999999999999</v>
      </c>
      <c r="F19" s="21">
        <v>59.3</v>
      </c>
      <c r="G19" s="21">
        <v>5</v>
      </c>
      <c r="H19" s="21">
        <v>58</v>
      </c>
      <c r="I19" s="21" t="s">
        <v>112</v>
      </c>
      <c r="J19" s="5">
        <v>2.5000000000000001E-2</v>
      </c>
      <c r="K19" s="21">
        <v>15.002058958190039</v>
      </c>
      <c r="L19" s="21">
        <v>56.68490834043002</v>
      </c>
      <c r="M19" s="21">
        <v>1.1499999999999999</v>
      </c>
      <c r="N19" s="21">
        <v>191</v>
      </c>
      <c r="O19" s="21">
        <v>20</v>
      </c>
      <c r="P19" s="21">
        <v>18</v>
      </c>
      <c r="Q19" s="21">
        <v>19</v>
      </c>
      <c r="R19" s="21">
        <v>23.332739861523081</v>
      </c>
      <c r="S19" s="21">
        <v>36.88476755687438</v>
      </c>
      <c r="T19" s="21">
        <v>742.18298714144407</v>
      </c>
      <c r="U19" s="21">
        <v>11.11129032258064</v>
      </c>
      <c r="V19" s="21">
        <v>11.16030303030303</v>
      </c>
      <c r="W19" s="21">
        <v>12.406285714285721</v>
      </c>
      <c r="X19" s="21">
        <v>12.768000000000001</v>
      </c>
      <c r="Y19" s="21">
        <v>13.165675675675679</v>
      </c>
      <c r="Z19" s="21">
        <v>14.363783783783781</v>
      </c>
      <c r="AA19" s="21"/>
      <c r="AB19" s="21"/>
      <c r="AC19" s="21"/>
      <c r="AD19" s="21"/>
      <c r="AF19">
        <v>2267.4388477064522</v>
      </c>
      <c r="AG19">
        <v>2256.621320436363</v>
      </c>
      <c r="AH19">
        <v>2483.666457735294</v>
      </c>
      <c r="AI19">
        <v>2561.655884908334</v>
      </c>
      <c r="AJ19">
        <v>2630.205678662162</v>
      </c>
      <c r="AK19">
        <v>2867.4453561918908</v>
      </c>
      <c r="AQ19">
        <v>127.8484848484848</v>
      </c>
      <c r="AR19">
        <v>142.68571428571431</v>
      </c>
      <c r="AS19">
        <v>150.91666666666671</v>
      </c>
      <c r="AT19">
        <v>158</v>
      </c>
      <c r="AU19">
        <v>165.73684210526321</v>
      </c>
      <c r="AV19">
        <v>172.46153846153851</v>
      </c>
      <c r="BB19">
        <v>0.1534996364763998</v>
      </c>
      <c r="BC19">
        <v>0.45512551156190562</v>
      </c>
      <c r="BD19">
        <v>0.45489969179859518</v>
      </c>
      <c r="BE19">
        <v>0.42650538723899101</v>
      </c>
      <c r="BF19">
        <v>0.42484889059126668</v>
      </c>
      <c r="BG19" s="28">
        <v>0.9760967493057251</v>
      </c>
      <c r="BH19" s="28">
        <v>0.97973101247440686</v>
      </c>
      <c r="BI19" s="28">
        <v>0.28320563677361621</v>
      </c>
      <c r="BJ19" s="28">
        <v>0.28256996720581068</v>
      </c>
      <c r="BK19" s="28">
        <v>0.79508611910993388</v>
      </c>
      <c r="BL19" s="27">
        <v>2.3831018518518519E-2</v>
      </c>
      <c r="BM19">
        <v>20</v>
      </c>
      <c r="BO19" s="21">
        <v>11.272205182622161</v>
      </c>
      <c r="BP19" s="21">
        <v>11.247793221219201</v>
      </c>
      <c r="BQ19" s="21">
        <v>12.455589691125221</v>
      </c>
      <c r="BR19" s="21">
        <v>12.823622543057519</v>
      </c>
      <c r="BS19" s="21">
        <v>13.21366392336069</v>
      </c>
      <c r="BT19" s="21">
        <v>14.41056126463436</v>
      </c>
      <c r="BU19" s="21"/>
      <c r="BV19" s="21"/>
      <c r="BW19" s="21"/>
      <c r="BX19" s="21"/>
      <c r="BZ19">
        <v>9</v>
      </c>
      <c r="CA19">
        <v>11</v>
      </c>
      <c r="CB19">
        <v>12</v>
      </c>
      <c r="CC19">
        <v>13</v>
      </c>
      <c r="CD19">
        <v>14</v>
      </c>
      <c r="CE19">
        <v>15</v>
      </c>
      <c r="CF19">
        <v>16</v>
      </c>
      <c r="CG19">
        <v>17</v>
      </c>
      <c r="CH19">
        <v>18</v>
      </c>
      <c r="CI19">
        <v>20</v>
      </c>
    </row>
    <row r="20" spans="2:87" x14ac:dyDescent="0.3">
      <c r="B20" s="21" t="s">
        <v>113</v>
      </c>
      <c r="C20" s="21" t="s">
        <v>93</v>
      </c>
      <c r="D20" s="21">
        <v>46</v>
      </c>
      <c r="E20" s="21">
        <v>1.7989999999999999</v>
      </c>
      <c r="F20" s="21">
        <v>75.3</v>
      </c>
      <c r="G20" s="21">
        <v>3</v>
      </c>
      <c r="H20" s="21">
        <v>30</v>
      </c>
      <c r="I20" s="21" t="s">
        <v>94</v>
      </c>
      <c r="J20" s="5">
        <v>2.5046296296296299E-2</v>
      </c>
      <c r="K20" s="21">
        <v>15.13981173554005</v>
      </c>
      <c r="L20" s="21">
        <v>53.842700855068607</v>
      </c>
      <c r="M20" s="21">
        <v>1.27</v>
      </c>
      <c r="N20" s="21">
        <v>169</v>
      </c>
      <c r="O20" s="21">
        <v>20</v>
      </c>
      <c r="P20" s="21">
        <v>18</v>
      </c>
      <c r="Q20" s="21">
        <v>19</v>
      </c>
      <c r="R20" s="21">
        <v>20.113725490196099</v>
      </c>
      <c r="S20" s="21">
        <v>34.92232277526395</v>
      </c>
      <c r="T20" s="21">
        <v>754.00075414781293</v>
      </c>
      <c r="U20" s="21">
        <v>12.76235294117647</v>
      </c>
      <c r="V20" s="21">
        <v>13.13777777777778</v>
      </c>
      <c r="W20" s="21">
        <v>14.773333333333341</v>
      </c>
      <c r="X20" s="21">
        <v>15.54</v>
      </c>
      <c r="Y20" s="21">
        <v>16.68269230769231</v>
      </c>
      <c r="Z20" s="21">
        <v>18.11269230769231</v>
      </c>
      <c r="AA20" s="21"/>
      <c r="AB20" s="21"/>
      <c r="AC20" s="21"/>
      <c r="AD20" s="21"/>
      <c r="AF20">
        <v>2610.9247848117652</v>
      </c>
      <c r="AG20">
        <v>2654.7956398555561</v>
      </c>
      <c r="AH20">
        <v>2964.082260419048</v>
      </c>
      <c r="AI20">
        <v>3121.806302863637</v>
      </c>
      <c r="AJ20">
        <v>3329.0101698846152</v>
      </c>
      <c r="AK20">
        <v>3567.640351603703</v>
      </c>
      <c r="AQ20">
        <v>104.7222222222222</v>
      </c>
      <c r="AR20">
        <v>114.4</v>
      </c>
      <c r="AS20">
        <v>121.5454545454545</v>
      </c>
      <c r="AT20">
        <v>131.04347826086959</v>
      </c>
      <c r="AU20">
        <v>139.55555555555549</v>
      </c>
      <c r="AV20">
        <v>147.44444444444451</v>
      </c>
      <c r="BB20">
        <v>0.18124487200053141</v>
      </c>
      <c r="BC20">
        <v>0.42430346342500758</v>
      </c>
      <c r="BD20">
        <v>0.43852056419743379</v>
      </c>
      <c r="BE20">
        <v>0.4200300474368987</v>
      </c>
      <c r="BF20">
        <v>0.41153197078545639</v>
      </c>
      <c r="BG20" s="28">
        <v>0.93966342110029411</v>
      </c>
      <c r="BH20" s="28">
        <v>0.94865032820634443</v>
      </c>
      <c r="BI20" s="28">
        <v>0.28250483316060171</v>
      </c>
      <c r="BJ20" s="28">
        <v>0.2770634331391757</v>
      </c>
      <c r="BK20" s="28">
        <v>0.85484312534668061</v>
      </c>
      <c r="BM20">
        <v>20</v>
      </c>
      <c r="BN20">
        <v>6</v>
      </c>
      <c r="BO20" s="21">
        <v>12.931142519203251</v>
      </c>
      <c r="BP20" s="21">
        <v>13.288690977323</v>
      </c>
      <c r="BQ20" s="21">
        <v>14.809899791785851</v>
      </c>
      <c r="BR20" s="21">
        <v>15.59142173161119</v>
      </c>
      <c r="BS20" s="21">
        <v>16.698796346964158</v>
      </c>
      <c r="BT20" s="21">
        <v>18.132338801233821</v>
      </c>
      <c r="BU20" s="21"/>
      <c r="BV20" s="21"/>
      <c r="BW20" s="21"/>
      <c r="BX20" s="21"/>
      <c r="BZ20">
        <v>7</v>
      </c>
      <c r="CA20">
        <v>9</v>
      </c>
      <c r="CB20">
        <v>10</v>
      </c>
      <c r="CC20">
        <v>11</v>
      </c>
      <c r="CD20">
        <v>12</v>
      </c>
      <c r="CE20">
        <v>13</v>
      </c>
      <c r="CF20">
        <v>15</v>
      </c>
      <c r="CG20">
        <v>16</v>
      </c>
      <c r="CH20">
        <v>19</v>
      </c>
      <c r="CI20">
        <v>20</v>
      </c>
    </row>
    <row r="21" spans="2:87" x14ac:dyDescent="0.3">
      <c r="B21" s="21" t="s">
        <v>114</v>
      </c>
      <c r="C21" s="21" t="s">
        <v>93</v>
      </c>
      <c r="D21" s="21">
        <v>50</v>
      </c>
      <c r="E21" s="21">
        <v>1.7969999999999999</v>
      </c>
      <c r="F21" s="21">
        <v>75.599999999999994</v>
      </c>
      <c r="G21" s="21">
        <v>5</v>
      </c>
      <c r="H21" s="21">
        <v>45</v>
      </c>
      <c r="I21" s="21" t="s">
        <v>94</v>
      </c>
      <c r="J21" s="5">
        <v>2.6388888888888889E-2</v>
      </c>
      <c r="K21" s="21">
        <v>14.93477951051146</v>
      </c>
      <c r="L21" s="21">
        <v>46.834105220458561</v>
      </c>
      <c r="M21" s="21">
        <v>1.31</v>
      </c>
      <c r="N21" s="21">
        <v>173</v>
      </c>
      <c r="O21" s="21">
        <v>20</v>
      </c>
      <c r="P21" s="21">
        <v>17</v>
      </c>
      <c r="Q21" s="21">
        <v>18</v>
      </c>
      <c r="R21" s="21">
        <v>19.77977893367996</v>
      </c>
      <c r="S21" s="21">
        <v>36.074772431729521</v>
      </c>
      <c r="T21" s="21">
        <v>750</v>
      </c>
      <c r="U21" s="21">
        <v>10.47608695652174</v>
      </c>
      <c r="V21" s="21">
        <v>11.362608695652179</v>
      </c>
      <c r="W21" s="21">
        <v>12.86192307692308</v>
      </c>
      <c r="X21" s="21">
        <v>13.79846153846154</v>
      </c>
      <c r="Y21" s="21">
        <v>15.05645161290323</v>
      </c>
      <c r="Z21" s="21"/>
      <c r="AA21" s="21"/>
      <c r="AB21" s="21"/>
      <c r="AC21" s="21"/>
      <c r="AD21" s="21"/>
      <c r="AF21">
        <v>2109.8082988125002</v>
      </c>
      <c r="AG21">
        <v>2299.1359722826091</v>
      </c>
      <c r="AH21">
        <v>2590.3660604653851</v>
      </c>
      <c r="AI21">
        <v>2768.6986964538469</v>
      </c>
      <c r="AJ21">
        <v>2999.8679392709678</v>
      </c>
      <c r="AQ21">
        <v>98.88</v>
      </c>
      <c r="AR21">
        <v>110.0833333333333</v>
      </c>
      <c r="AS21">
        <v>122.7407407407407</v>
      </c>
      <c r="AT21">
        <v>133.85714285714289</v>
      </c>
      <c r="AU21">
        <v>144.96875</v>
      </c>
      <c r="BB21">
        <v>0.17405632841519961</v>
      </c>
      <c r="BC21">
        <v>0.44579000486719889</v>
      </c>
      <c r="BD21">
        <v>0.44772825542213168</v>
      </c>
      <c r="BE21">
        <v>0.426686235596414</v>
      </c>
      <c r="BF21">
        <v>0.42139607584874061</v>
      </c>
      <c r="BG21" s="28">
        <v>0.96538401166285115</v>
      </c>
      <c r="BH21" s="28">
        <v>0.96786366579100847</v>
      </c>
      <c r="BI21" s="28">
        <v>0.28334852393979898</v>
      </c>
      <c r="BJ21" s="28">
        <v>0.283686624474904</v>
      </c>
      <c r="BK21" s="28">
        <v>0.83037616127307012</v>
      </c>
      <c r="BL21" s="27">
        <v>1.7071759259259259E-2</v>
      </c>
      <c r="BM21">
        <v>20</v>
      </c>
      <c r="BN21">
        <v>7.7</v>
      </c>
      <c r="BO21" s="21">
        <v>10.60373876419321</v>
      </c>
      <c r="BP21" s="21">
        <v>11.48194639176622</v>
      </c>
      <c r="BQ21" s="21">
        <v>13.084188444163971</v>
      </c>
      <c r="BR21" s="21">
        <v>13.893604332342001</v>
      </c>
      <c r="BS21" s="21">
        <v>15.071401817470919</v>
      </c>
      <c r="BT21" s="21"/>
      <c r="BU21" s="21"/>
      <c r="BV21" s="21"/>
      <c r="BW21" s="21"/>
      <c r="BX21" s="21"/>
      <c r="BZ21">
        <v>11</v>
      </c>
      <c r="CA21">
        <v>12</v>
      </c>
      <c r="CB21">
        <v>12</v>
      </c>
      <c r="CC21">
        <v>13</v>
      </c>
      <c r="CD21">
        <v>14</v>
      </c>
      <c r="CE21">
        <v>15</v>
      </c>
      <c r="CF21">
        <v>17</v>
      </c>
      <c r="CG21">
        <v>19</v>
      </c>
      <c r="CH21">
        <v>20</v>
      </c>
    </row>
    <row r="22" spans="2:87" x14ac:dyDescent="0.3">
      <c r="B22" s="21" t="s">
        <v>115</v>
      </c>
      <c r="C22" s="21" t="s">
        <v>93</v>
      </c>
      <c r="D22" s="21">
        <v>41</v>
      </c>
      <c r="E22" s="21">
        <v>1.841</v>
      </c>
      <c r="F22" s="21">
        <v>77.099999999999994</v>
      </c>
      <c r="G22" s="21">
        <v>3</v>
      </c>
      <c r="H22" s="21">
        <v>60</v>
      </c>
      <c r="I22" s="21" t="s">
        <v>94</v>
      </c>
      <c r="J22" s="5">
        <v>2.493055555555556E-2</v>
      </c>
      <c r="K22" s="21">
        <v>14.87768603171927</v>
      </c>
      <c r="L22" s="21">
        <v>49.287315784954608</v>
      </c>
      <c r="M22" s="21">
        <v>1.3</v>
      </c>
      <c r="N22" s="21">
        <v>186</v>
      </c>
      <c r="O22" s="21">
        <v>19</v>
      </c>
      <c r="P22" s="21">
        <v>17</v>
      </c>
      <c r="Q22" s="21">
        <v>18</v>
      </c>
      <c r="R22" s="21">
        <v>23.498553868401888</v>
      </c>
      <c r="S22" s="21">
        <v>43.096890817064363</v>
      </c>
      <c r="T22" s="21">
        <v>730</v>
      </c>
      <c r="U22" s="21">
        <v>11.914615384615381</v>
      </c>
      <c r="V22" s="21">
        <v>12.7462962962963</v>
      </c>
      <c r="W22" s="21">
        <v>13.98129032258065</v>
      </c>
      <c r="X22" s="21">
        <v>14.25545454545454</v>
      </c>
      <c r="Y22" s="21">
        <v>15.2</v>
      </c>
      <c r="Z22" s="21"/>
      <c r="AA22" s="21"/>
      <c r="AB22" s="21"/>
      <c r="AC22" s="21"/>
      <c r="AD22" s="21"/>
      <c r="AF22">
        <v>2386.7945311576918</v>
      </c>
      <c r="AG22">
        <v>2522.5246150703711</v>
      </c>
      <c r="AH22">
        <v>2780.293870603226</v>
      </c>
      <c r="AI22">
        <v>2821.1807575696971</v>
      </c>
      <c r="AJ22">
        <v>3003.3955839705882</v>
      </c>
      <c r="AQ22">
        <v>125.19230769230769</v>
      </c>
      <c r="AR22">
        <v>136.62068965517241</v>
      </c>
      <c r="AS22">
        <v>143.5</v>
      </c>
      <c r="AT22">
        <v>150.85714285714289</v>
      </c>
      <c r="AU22">
        <v>160.14285714285711</v>
      </c>
      <c r="BB22">
        <v>0.17389872151281899</v>
      </c>
      <c r="BC22">
        <v>0.45057313442141472</v>
      </c>
      <c r="BD22">
        <v>0.46074489278320829</v>
      </c>
      <c r="BE22">
        <v>0.42748161825544978</v>
      </c>
      <c r="BF22">
        <v>0.43330513284739242</v>
      </c>
      <c r="BG22" s="28">
        <v>0.97201063046379699</v>
      </c>
      <c r="BH22" s="28">
        <v>0.98209875065182883</v>
      </c>
      <c r="BI22" s="28">
        <v>0.29726645907184102</v>
      </c>
      <c r="BJ22" s="28">
        <v>0.29745319847565588</v>
      </c>
      <c r="BK22" s="28">
        <v>0.86394530944218706</v>
      </c>
      <c r="BM22">
        <v>14</v>
      </c>
      <c r="BO22" s="21">
        <v>11.988842095346079</v>
      </c>
      <c r="BP22" s="21">
        <v>12.751215627784971</v>
      </c>
      <c r="BQ22" s="21">
        <v>14.0511741649659</v>
      </c>
      <c r="BR22" s="21">
        <v>14.217664485862411</v>
      </c>
      <c r="BS22" s="21">
        <v>15.16489944027844</v>
      </c>
      <c r="BT22" s="21"/>
      <c r="BU22" s="21"/>
      <c r="BV22" s="21"/>
      <c r="BW22" s="21"/>
      <c r="BX22" s="21"/>
      <c r="BZ22">
        <v>7</v>
      </c>
      <c r="CA22">
        <v>7</v>
      </c>
      <c r="CB22">
        <v>8</v>
      </c>
      <c r="CC22">
        <v>9</v>
      </c>
      <c r="CD22">
        <v>11</v>
      </c>
      <c r="CE22">
        <v>12</v>
      </c>
      <c r="CF22">
        <v>14</v>
      </c>
      <c r="CG22">
        <v>15</v>
      </c>
      <c r="CH22">
        <v>19</v>
      </c>
    </row>
    <row r="23" spans="2:87" x14ac:dyDescent="0.3">
      <c r="B23" s="21" t="s">
        <v>116</v>
      </c>
      <c r="C23" s="21" t="s">
        <v>93</v>
      </c>
      <c r="D23" s="21">
        <v>31</v>
      </c>
      <c r="E23" s="21">
        <v>1.8480000000000001</v>
      </c>
      <c r="F23" s="21">
        <v>82.3</v>
      </c>
      <c r="G23" s="21">
        <v>4</v>
      </c>
      <c r="H23" s="21">
        <v>55</v>
      </c>
      <c r="I23" s="21" t="s">
        <v>94</v>
      </c>
      <c r="J23" s="5">
        <v>3.0243055555555551E-2</v>
      </c>
      <c r="K23" s="21">
        <v>13.23050395550781</v>
      </c>
      <c r="L23" s="21">
        <v>45.965639589226413</v>
      </c>
      <c r="M23" s="21">
        <v>1.28</v>
      </c>
      <c r="N23" s="21">
        <v>188</v>
      </c>
      <c r="O23" s="21">
        <v>20</v>
      </c>
      <c r="P23" s="21">
        <v>15</v>
      </c>
      <c r="Q23" s="21">
        <v>16</v>
      </c>
      <c r="R23" s="21">
        <v>22.132422243167031</v>
      </c>
      <c r="S23" s="21">
        <v>39.301602262016957</v>
      </c>
      <c r="T23" s="21">
        <v>739</v>
      </c>
      <c r="U23" s="21">
        <v>13.99666666666667</v>
      </c>
      <c r="V23" s="21">
        <v>14.47652173913044</v>
      </c>
      <c r="W23" s="21">
        <v>14.9412</v>
      </c>
      <c r="X23" s="21">
        <v>16.736538461538458</v>
      </c>
      <c r="Y23" s="21"/>
      <c r="Z23" s="21"/>
      <c r="AA23" s="21"/>
      <c r="AB23" s="21"/>
      <c r="AC23" s="21"/>
      <c r="AD23" s="21"/>
      <c r="AF23">
        <v>2819.8217946999989</v>
      </c>
      <c r="AG23">
        <v>2907.2654528782609</v>
      </c>
      <c r="AH23">
        <v>2982.377630179999</v>
      </c>
      <c r="AI23">
        <v>3315.1201614360002</v>
      </c>
      <c r="AQ23">
        <v>134.57894736842101</v>
      </c>
      <c r="AR23">
        <v>147.84</v>
      </c>
      <c r="AS23">
        <v>155.53846153846149</v>
      </c>
      <c r="AT23">
        <v>164.03703703703701</v>
      </c>
      <c r="BB23">
        <v>0.1745582263514279</v>
      </c>
      <c r="BC23">
        <v>0.45306268625687263</v>
      </c>
      <c r="BD23">
        <v>0.44808336809729937</v>
      </c>
      <c r="BE23">
        <v>0.43680073286304211</v>
      </c>
      <c r="BF23">
        <v>0.44427082541950641</v>
      </c>
      <c r="BG23" s="28">
        <v>0.98955653732021653</v>
      </c>
      <c r="BH23" s="28">
        <v>0.9907312157253424</v>
      </c>
      <c r="BI23" s="28">
        <v>0.29843800869495157</v>
      </c>
      <c r="BJ23" s="28">
        <v>0.29634205280629478</v>
      </c>
      <c r="BK23" s="28">
        <v>0.85785612347722062</v>
      </c>
      <c r="BM23">
        <v>20</v>
      </c>
      <c r="BN23">
        <v>6.6</v>
      </c>
      <c r="BO23" s="21">
        <v>14.112131805996549</v>
      </c>
      <c r="BP23" s="21">
        <v>14.56806842149892</v>
      </c>
      <c r="BQ23" s="21">
        <v>14.98934352842978</v>
      </c>
      <c r="BR23" s="21">
        <v>16.684389501202151</v>
      </c>
      <c r="BS23" s="21"/>
      <c r="BT23" s="21"/>
      <c r="BU23" s="21"/>
      <c r="BV23" s="21"/>
      <c r="BW23" s="21"/>
      <c r="BX23" s="21"/>
      <c r="BZ23">
        <v>9</v>
      </c>
      <c r="CA23">
        <v>11</v>
      </c>
      <c r="CB23">
        <v>13</v>
      </c>
      <c r="CC23">
        <v>15</v>
      </c>
      <c r="CD23">
        <v>17</v>
      </c>
      <c r="CE23">
        <v>18</v>
      </c>
      <c r="CF23">
        <v>20</v>
      </c>
    </row>
    <row r="24" spans="2:87" x14ac:dyDescent="0.3">
      <c r="B24" s="21" t="s">
        <v>117</v>
      </c>
      <c r="C24" s="21" t="s">
        <v>93</v>
      </c>
      <c r="D24" s="21">
        <v>43</v>
      </c>
      <c r="E24" s="21">
        <v>1.7370000000000001</v>
      </c>
      <c r="F24" s="21">
        <v>65.7</v>
      </c>
      <c r="G24" s="21">
        <v>5</v>
      </c>
      <c r="H24" s="21">
        <v>60</v>
      </c>
      <c r="I24" s="21" t="s">
        <v>94</v>
      </c>
      <c r="J24" s="5">
        <v>2.418981481481481E-2</v>
      </c>
      <c r="K24" s="21">
        <v>15.275270760227381</v>
      </c>
      <c r="L24" s="21">
        <v>56.331232802841193</v>
      </c>
      <c r="M24" s="21">
        <v>1.1499999999999999</v>
      </c>
      <c r="N24" s="21">
        <v>189</v>
      </c>
      <c r="O24" s="21">
        <v>20</v>
      </c>
      <c r="P24" s="21">
        <v>17</v>
      </c>
      <c r="Q24" s="21">
        <v>18</v>
      </c>
      <c r="R24" s="21">
        <v>21.171900826446191</v>
      </c>
      <c r="S24" s="21">
        <v>31.73403456048084</v>
      </c>
      <c r="T24" s="21">
        <v>731</v>
      </c>
      <c r="U24" s="21">
        <v>10.610434782608699</v>
      </c>
      <c r="V24" s="21">
        <v>11.80238095238095</v>
      </c>
      <c r="W24" s="21">
        <v>12.41259259259259</v>
      </c>
      <c r="X24" s="21">
        <v>13.947142857142859</v>
      </c>
      <c r="Y24" s="21">
        <v>14.945172413793101</v>
      </c>
      <c r="Z24" s="21">
        <v>16.224642857142861</v>
      </c>
      <c r="AA24" s="21"/>
      <c r="AB24" s="21"/>
      <c r="AC24" s="21"/>
      <c r="AD24" s="21"/>
      <c r="AF24">
        <v>2186.040531056522</v>
      </c>
      <c r="AG24">
        <v>2370.4337434499998</v>
      </c>
      <c r="AH24">
        <v>2526.831495085185</v>
      </c>
      <c r="AI24">
        <v>2832.7907559214282</v>
      </c>
      <c r="AJ24">
        <v>3023.8654771931028</v>
      </c>
      <c r="AK24">
        <v>3263.1049451285712</v>
      </c>
      <c r="AQ24">
        <v>116.95652173913039</v>
      </c>
      <c r="AR24">
        <v>123.60869565217391</v>
      </c>
      <c r="AS24">
        <v>134.44827586206901</v>
      </c>
      <c r="AT24">
        <v>142.54838709677421</v>
      </c>
      <c r="AU24">
        <v>154.38709677419351</v>
      </c>
      <c r="AV24">
        <v>165.06666666666669</v>
      </c>
      <c r="BB24">
        <v>0.1570593529503877</v>
      </c>
      <c r="BC24">
        <v>0.43419829133472088</v>
      </c>
      <c r="BD24">
        <v>0.43042792370252692</v>
      </c>
      <c r="BE24">
        <v>0.40155799829318728</v>
      </c>
      <c r="BF24">
        <v>0.4099333349960968</v>
      </c>
      <c r="BG24" s="28">
        <v>0.92374099384654651</v>
      </c>
      <c r="BH24" s="28">
        <v>0.9260957701639696</v>
      </c>
      <c r="BI24" s="28">
        <v>0.28370536127680412</v>
      </c>
      <c r="BJ24" s="28">
        <v>0.28460589905489803</v>
      </c>
      <c r="BK24" s="28">
        <v>0.8120816179947421</v>
      </c>
      <c r="BL24" s="27">
        <v>1.480324074074074E-2</v>
      </c>
      <c r="BM24">
        <v>19</v>
      </c>
      <c r="BN24">
        <v>6.2</v>
      </c>
      <c r="BO24" s="21">
        <v>10.93436375886988</v>
      </c>
      <c r="BP24" s="21">
        <v>11.944819549487089</v>
      </c>
      <c r="BQ24" s="21">
        <v>12.70607074384561</v>
      </c>
      <c r="BR24" s="21">
        <v>14.11211744885637</v>
      </c>
      <c r="BS24" s="21">
        <v>15.03753536924974</v>
      </c>
      <c r="BT24" s="21">
        <v>16.366199850000761</v>
      </c>
      <c r="BU24" s="21"/>
      <c r="BV24" s="21"/>
      <c r="BW24" s="21"/>
      <c r="BX24" s="21"/>
      <c r="BZ24">
        <v>10</v>
      </c>
      <c r="CA24">
        <v>12</v>
      </c>
      <c r="CB24">
        <v>13</v>
      </c>
      <c r="CC24">
        <v>15</v>
      </c>
      <c r="CD24">
        <v>16</v>
      </c>
      <c r="CE24">
        <v>17</v>
      </c>
      <c r="CF24">
        <v>18</v>
      </c>
      <c r="CG24">
        <v>19</v>
      </c>
      <c r="CH24">
        <v>20</v>
      </c>
    </row>
    <row r="25" spans="2:87" x14ac:dyDescent="0.3">
      <c r="B25" s="21" t="s">
        <v>118</v>
      </c>
      <c r="C25" s="21" t="s">
        <v>98</v>
      </c>
      <c r="D25" s="21">
        <v>49</v>
      </c>
      <c r="E25" s="21">
        <v>1.6339999999999999</v>
      </c>
      <c r="F25" s="21">
        <v>60.3</v>
      </c>
      <c r="G25" s="21">
        <v>4</v>
      </c>
      <c r="H25" s="21">
        <v>52</v>
      </c>
      <c r="I25" s="21" t="s">
        <v>94</v>
      </c>
      <c r="J25" s="5">
        <v>3.0138888888888889E-2</v>
      </c>
      <c r="K25" s="21">
        <v>13.55409416380521</v>
      </c>
      <c r="L25" s="21">
        <v>48.216457586622447</v>
      </c>
      <c r="M25" s="21">
        <v>1.1299999999999999</v>
      </c>
      <c r="N25" s="21">
        <v>159</v>
      </c>
      <c r="O25" s="21">
        <v>19</v>
      </c>
      <c r="P25" s="21">
        <v>15</v>
      </c>
      <c r="Q25" s="21">
        <v>15</v>
      </c>
      <c r="R25" s="21">
        <v>20.614708603145299</v>
      </c>
      <c r="S25" s="21">
        <v>32.77983348751156</v>
      </c>
      <c r="T25" s="21">
        <v>735</v>
      </c>
      <c r="U25" s="21"/>
      <c r="V25" s="21">
        <v>11.183999999999999</v>
      </c>
      <c r="W25" s="21">
        <v>11.693611111111119</v>
      </c>
      <c r="X25" s="21">
        <v>12.833513513513511</v>
      </c>
      <c r="Y25" s="21"/>
      <c r="Z25" s="21"/>
      <c r="AA25" s="21"/>
      <c r="AB25" s="21"/>
      <c r="AC25" s="21"/>
      <c r="AD25" s="21"/>
      <c r="AG25">
        <v>2236.3735987</v>
      </c>
      <c r="AH25">
        <v>2326.7765381444451</v>
      </c>
      <c r="AI25">
        <v>2532.5285317864868</v>
      </c>
      <c r="AR25">
        <v>121.6666666666667</v>
      </c>
      <c r="AS25">
        <v>131.1081081081081</v>
      </c>
      <c r="AT25">
        <v>143.23684210526321</v>
      </c>
      <c r="BB25">
        <v>0.17564820742782869</v>
      </c>
      <c r="BC25">
        <v>0.38644544231264127</v>
      </c>
      <c r="BD25">
        <v>0.39518133419857132</v>
      </c>
      <c r="BE25">
        <v>0.36797576753611377</v>
      </c>
      <c r="BF25">
        <v>0.37132387682474199</v>
      </c>
      <c r="BG25" s="28">
        <v>0.86152519188194632</v>
      </c>
      <c r="BH25" s="28">
        <v>0.87200496854069076</v>
      </c>
      <c r="BI25" s="28">
        <v>0.25866958405358209</v>
      </c>
      <c r="BJ25" s="28">
        <v>0.25604180143416122</v>
      </c>
      <c r="BK25" s="28">
        <v>0.76723491978868141</v>
      </c>
      <c r="BM25">
        <v>18</v>
      </c>
      <c r="BO25" s="21"/>
      <c r="BP25" s="21">
        <v>11.23020147714286</v>
      </c>
      <c r="BQ25" s="21">
        <v>11.726407919968439</v>
      </c>
      <c r="BR25" s="21">
        <v>12.776665839944661</v>
      </c>
      <c r="BS25" s="21"/>
      <c r="BT25" s="21"/>
      <c r="BU25" s="21"/>
      <c r="BV25" s="21"/>
      <c r="BW25" s="21"/>
      <c r="BX25" s="21"/>
      <c r="BZ25">
        <v>8</v>
      </c>
      <c r="CA25">
        <v>9</v>
      </c>
      <c r="CB25">
        <v>11</v>
      </c>
      <c r="CC25">
        <v>12</v>
      </c>
      <c r="CD25">
        <v>15</v>
      </c>
      <c r="CE25">
        <v>19</v>
      </c>
    </row>
    <row r="26" spans="2:87" x14ac:dyDescent="0.3">
      <c r="B26" s="21" t="s">
        <v>119</v>
      </c>
      <c r="C26" s="21" t="s">
        <v>93</v>
      </c>
      <c r="D26" s="21">
        <v>22</v>
      </c>
      <c r="E26" s="21">
        <v>1.79</v>
      </c>
      <c r="F26" s="21">
        <v>69</v>
      </c>
      <c r="G26" s="21">
        <v>4</v>
      </c>
      <c r="H26" s="21">
        <v>8</v>
      </c>
      <c r="I26" s="21" t="s">
        <v>94</v>
      </c>
      <c r="J26" s="5">
        <v>2.569444444444444E-2</v>
      </c>
      <c r="K26" s="21">
        <v>15.0183228361842</v>
      </c>
      <c r="L26" s="21">
        <v>52.774203357777779</v>
      </c>
      <c r="M26" s="21">
        <v>1.27</v>
      </c>
      <c r="N26" s="21">
        <v>206</v>
      </c>
      <c r="O26" s="21">
        <v>20</v>
      </c>
      <c r="P26" s="21">
        <v>18</v>
      </c>
      <c r="Q26" s="21">
        <v>18</v>
      </c>
      <c r="R26" s="21">
        <v>23.909688581314921</v>
      </c>
      <c r="S26" s="21">
        <v>31.283242708848249</v>
      </c>
      <c r="T26" s="21">
        <v>730.79930795847747</v>
      </c>
      <c r="U26" s="21">
        <v>12.133333333333329</v>
      </c>
      <c r="V26" s="21">
        <v>12.13727272727273</v>
      </c>
      <c r="W26" s="21">
        <v>13.829062499999999</v>
      </c>
      <c r="X26" s="21">
        <v>14.532857142857139</v>
      </c>
      <c r="Y26" s="21">
        <v>15.367272727272731</v>
      </c>
      <c r="Z26" s="21">
        <v>16.520454545454552</v>
      </c>
      <c r="AA26" s="21"/>
      <c r="AB26" s="21"/>
      <c r="AC26" s="21"/>
      <c r="AD26" s="21"/>
      <c r="AF26">
        <v>2497.202359629629</v>
      </c>
      <c r="AG26">
        <v>2480.9417319227282</v>
      </c>
      <c r="AH26">
        <v>2775.0389156093738</v>
      </c>
      <c r="AI26">
        <v>2919.6664292971432</v>
      </c>
      <c r="AJ26">
        <v>3066.969174869696</v>
      </c>
      <c r="AK26">
        <v>3273.0176418909091</v>
      </c>
      <c r="AQ26">
        <v>139.2413793103448</v>
      </c>
      <c r="AR26">
        <v>150.47826086956519</v>
      </c>
      <c r="AS26">
        <v>159.969696969697</v>
      </c>
      <c r="AT26">
        <v>167.32432432432429</v>
      </c>
      <c r="AU26">
        <v>176.57142857142861</v>
      </c>
      <c r="AV26">
        <v>183.54347826086959</v>
      </c>
      <c r="BB26">
        <v>0.1709265399659641</v>
      </c>
      <c r="BC26">
        <v>0.44785909596399842</v>
      </c>
      <c r="BD26">
        <v>0.44853847331038382</v>
      </c>
      <c r="BE26">
        <v>0.40820764419039057</v>
      </c>
      <c r="BF26">
        <v>0.40716018500237622</v>
      </c>
      <c r="BG26" s="28">
        <v>0.95812951666968205</v>
      </c>
      <c r="BH26" s="28">
        <v>0.95995653952871052</v>
      </c>
      <c r="BI26" s="28">
        <v>0.2802506891227074</v>
      </c>
      <c r="BJ26" s="28">
        <v>0.27720973164622109</v>
      </c>
      <c r="BK26" s="28">
        <v>0.83095697190080375</v>
      </c>
      <c r="BL26" s="27">
        <v>1.6921296296296299E-2</v>
      </c>
      <c r="BM26">
        <v>19</v>
      </c>
      <c r="BN26">
        <v>6.5</v>
      </c>
      <c r="BO26" s="21">
        <v>12.53241243992964</v>
      </c>
      <c r="BP26" s="21">
        <v>12.35782897424297</v>
      </c>
      <c r="BQ26" s="21">
        <v>13.91045510875311</v>
      </c>
      <c r="BR26" s="21">
        <v>14.62655827137382</v>
      </c>
      <c r="BS26" s="21">
        <v>15.41567435206075</v>
      </c>
      <c r="BT26" s="21">
        <v>16.511186302051751</v>
      </c>
      <c r="BU26" s="21"/>
      <c r="BV26" s="21"/>
      <c r="BW26" s="21"/>
      <c r="BX26" s="21"/>
      <c r="BZ26">
        <v>10</v>
      </c>
      <c r="CA26">
        <v>11</v>
      </c>
      <c r="CB26">
        <v>12</v>
      </c>
      <c r="CC26">
        <v>13</v>
      </c>
      <c r="CD26">
        <v>14</v>
      </c>
      <c r="CE26">
        <v>15</v>
      </c>
      <c r="CF26">
        <v>15</v>
      </c>
      <c r="CG26">
        <v>17</v>
      </c>
      <c r="CH26">
        <v>20</v>
      </c>
    </row>
    <row r="27" spans="2:87" x14ac:dyDescent="0.3">
      <c r="B27" s="21" t="s">
        <v>120</v>
      </c>
      <c r="C27" s="21" t="s">
        <v>98</v>
      </c>
      <c r="D27" s="21">
        <v>45</v>
      </c>
      <c r="E27" s="21">
        <v>1.667</v>
      </c>
      <c r="F27" s="21">
        <v>58</v>
      </c>
      <c r="G27" s="21">
        <v>7</v>
      </c>
      <c r="H27" s="21">
        <v>55</v>
      </c>
      <c r="I27" s="21" t="s">
        <v>94</v>
      </c>
      <c r="J27" s="5">
        <v>3.0081018518518521E-2</v>
      </c>
      <c r="K27" s="21">
        <v>13.05247682831828</v>
      </c>
      <c r="L27" s="21">
        <v>51.984415115977001</v>
      </c>
      <c r="M27" s="21">
        <v>0.73</v>
      </c>
      <c r="N27" s="21">
        <v>164</v>
      </c>
      <c r="O27" s="21">
        <v>20</v>
      </c>
      <c r="P27" s="21">
        <v>15</v>
      </c>
      <c r="Q27" s="21">
        <v>16</v>
      </c>
      <c r="R27" s="21">
        <v>21.15886469673368</v>
      </c>
      <c r="S27" s="21">
        <v>29.608864696734059</v>
      </c>
      <c r="T27" s="21">
        <v>731.76438569206846</v>
      </c>
      <c r="U27" s="21">
        <v>10.333125000000001</v>
      </c>
      <c r="V27" s="21">
        <v>11.511351351351349</v>
      </c>
      <c r="W27" s="21">
        <v>11.583255813953491</v>
      </c>
      <c r="X27" s="21">
        <v>12.19348837209302</v>
      </c>
      <c r="Y27" s="21"/>
      <c r="Z27" s="21"/>
      <c r="AA27" s="21"/>
      <c r="AB27" s="21"/>
      <c r="AC27" s="21"/>
      <c r="AD27" s="21"/>
      <c r="AF27">
        <v>2145.6474105500001</v>
      </c>
      <c r="AG27">
        <v>2408.937500123684</v>
      </c>
      <c r="AH27">
        <v>2425.2085990023261</v>
      </c>
      <c r="AI27">
        <v>2540.0113349860462</v>
      </c>
      <c r="AQ27">
        <v>130.93939393939391</v>
      </c>
      <c r="AR27">
        <v>141.0526315789474</v>
      </c>
      <c r="AS27">
        <v>145.48888888888891</v>
      </c>
      <c r="AT27">
        <v>150.78260869565219</v>
      </c>
      <c r="BB27">
        <v>0.18581017588450391</v>
      </c>
      <c r="BC27">
        <v>0.40171140934638561</v>
      </c>
      <c r="BD27">
        <v>0.39710902582344543</v>
      </c>
      <c r="BE27">
        <v>0.37681635862973722</v>
      </c>
      <c r="BF27">
        <v>0.3692206710914408</v>
      </c>
      <c r="BG27" s="28">
        <v>0.86977189206567951</v>
      </c>
      <c r="BH27" s="28">
        <v>0.8648837606677805</v>
      </c>
      <c r="BI27" s="28">
        <v>0.26392860509334543</v>
      </c>
      <c r="BJ27" s="28">
        <v>0.26396980976221668</v>
      </c>
      <c r="BK27" s="28">
        <v>0.79967217363327003</v>
      </c>
      <c r="BL27" s="27">
        <v>1.4537037037037039E-2</v>
      </c>
      <c r="BM27">
        <v>20</v>
      </c>
      <c r="BN27">
        <v>5.7</v>
      </c>
      <c r="BO27" s="21">
        <v>10.58666094205754</v>
      </c>
      <c r="BP27" s="21">
        <v>11.85406071422709</v>
      </c>
      <c r="BQ27" s="21">
        <v>11.890993861272671</v>
      </c>
      <c r="BR27" s="21">
        <v>12.49647929019595</v>
      </c>
      <c r="BS27" s="21"/>
      <c r="BT27" s="21"/>
      <c r="BU27" s="21"/>
      <c r="BV27" s="21"/>
      <c r="BW27" s="21"/>
      <c r="BX27" s="21"/>
      <c r="BZ27">
        <v>11</v>
      </c>
      <c r="CA27">
        <v>12</v>
      </c>
      <c r="CB27">
        <v>13</v>
      </c>
      <c r="CC27">
        <v>14</v>
      </c>
      <c r="CD27">
        <v>17</v>
      </c>
      <c r="CE27">
        <v>19</v>
      </c>
      <c r="CF27">
        <v>20</v>
      </c>
    </row>
    <row r="28" spans="2:87" x14ac:dyDescent="0.3">
      <c r="B28" s="21" t="s">
        <v>121</v>
      </c>
      <c r="C28" s="21" t="s">
        <v>93</v>
      </c>
      <c r="D28" s="21">
        <v>46</v>
      </c>
      <c r="E28" s="21">
        <v>1.7849999999999999</v>
      </c>
      <c r="F28" s="21">
        <v>76</v>
      </c>
      <c r="G28" s="21">
        <v>5</v>
      </c>
      <c r="H28" s="21">
        <v>35</v>
      </c>
      <c r="I28" s="21" t="s">
        <v>94</v>
      </c>
      <c r="J28" s="5">
        <v>2.881944444444445E-2</v>
      </c>
      <c r="K28" s="21">
        <v>13.380009963057651</v>
      </c>
      <c r="L28" s="21">
        <v>41.619176812280699</v>
      </c>
      <c r="M28" s="21">
        <v>1.19</v>
      </c>
      <c r="N28" s="21">
        <v>173</v>
      </c>
      <c r="O28" s="21">
        <v>19</v>
      </c>
      <c r="P28" s="21">
        <v>16</v>
      </c>
      <c r="Q28" s="21">
        <v>17</v>
      </c>
      <c r="R28" s="21">
        <v>20.978813559322141</v>
      </c>
      <c r="S28" s="21">
        <v>32.194915254237287</v>
      </c>
      <c r="T28" s="21">
        <v>739.94237288135594</v>
      </c>
      <c r="U28" s="21">
        <v>12.78095238095238</v>
      </c>
      <c r="V28" s="21">
        <v>13.843333333333341</v>
      </c>
      <c r="W28" s="21">
        <v>14.69</v>
      </c>
      <c r="X28" s="21">
        <v>15.041851851851851</v>
      </c>
      <c r="Y28" s="21"/>
      <c r="Z28" s="21"/>
      <c r="AA28" s="21"/>
      <c r="AB28" s="21"/>
      <c r="AC28" s="21"/>
      <c r="AD28" s="21"/>
      <c r="AF28">
        <v>2565.0867421571429</v>
      </c>
      <c r="AG28">
        <v>2755.8711301166668</v>
      </c>
      <c r="AH28">
        <v>2899.8860247919988</v>
      </c>
      <c r="AI28">
        <v>2965.8363292407412</v>
      </c>
      <c r="AQ28">
        <v>126.4545454545455</v>
      </c>
      <c r="AR28">
        <v>137.96153846153851</v>
      </c>
      <c r="AS28">
        <v>146.53846153846149</v>
      </c>
      <c r="AT28">
        <v>153.8666666666667</v>
      </c>
      <c r="BB28">
        <v>0.15131520149268929</v>
      </c>
      <c r="BC28">
        <v>0.49121156042018299</v>
      </c>
      <c r="BD28">
        <v>0.48503185634877671</v>
      </c>
      <c r="BE28">
        <v>0.42911304391605809</v>
      </c>
      <c r="BF28">
        <v>0.42941370725992062</v>
      </c>
      <c r="BG28" s="28">
        <v>1.012547433376312</v>
      </c>
      <c r="BH28" s="28">
        <v>1.0084918737411499</v>
      </c>
      <c r="BI28" s="28">
        <v>0.27447043362915152</v>
      </c>
      <c r="BJ28" s="28">
        <v>0.27834939235512191</v>
      </c>
      <c r="BK28" s="28">
        <v>0.77448034644126884</v>
      </c>
      <c r="BL28" s="27">
        <v>1.525462962962963E-2</v>
      </c>
      <c r="BM28">
        <v>19</v>
      </c>
      <c r="BN28">
        <v>10.199999999999999</v>
      </c>
      <c r="BO28" s="21">
        <v>12.818553156049211</v>
      </c>
      <c r="BP28" s="21">
        <v>13.869154641640369</v>
      </c>
      <c r="BQ28" s="21">
        <v>14.655309329480829</v>
      </c>
      <c r="BR28" s="21">
        <v>14.99769864300128</v>
      </c>
      <c r="BS28" s="21"/>
      <c r="BT28" s="21"/>
      <c r="BU28" s="21"/>
      <c r="BV28" s="21"/>
      <c r="BW28" s="21"/>
      <c r="BX28" s="21"/>
      <c r="BZ28">
        <v>7</v>
      </c>
      <c r="CA28">
        <v>8</v>
      </c>
      <c r="CB28">
        <v>8</v>
      </c>
      <c r="CC28">
        <v>10</v>
      </c>
      <c r="CD28">
        <v>11</v>
      </c>
      <c r="CE28">
        <v>14</v>
      </c>
      <c r="CF28">
        <v>17</v>
      </c>
      <c r="CG28">
        <v>19</v>
      </c>
    </row>
    <row r="29" spans="2:87" x14ac:dyDescent="0.3">
      <c r="B29" s="21" t="s">
        <v>122</v>
      </c>
      <c r="C29" s="21" t="s">
        <v>93</v>
      </c>
      <c r="D29" s="21">
        <v>44</v>
      </c>
      <c r="E29" s="21">
        <v>1.8180000000000001</v>
      </c>
      <c r="F29" s="21">
        <v>64.400000000000006</v>
      </c>
      <c r="G29" s="21">
        <v>6</v>
      </c>
      <c r="H29" s="21">
        <v>84</v>
      </c>
      <c r="I29" s="21" t="s">
        <v>123</v>
      </c>
      <c r="J29" s="5">
        <v>2.5173611111111108E-2</v>
      </c>
      <c r="K29" s="21">
        <v>15.417753944028579</v>
      </c>
      <c r="L29" s="21">
        <v>49.275352485636638</v>
      </c>
      <c r="M29" s="21">
        <v>1.21</v>
      </c>
      <c r="N29" s="21">
        <v>172</v>
      </c>
      <c r="O29" s="21">
        <v>20</v>
      </c>
      <c r="P29" s="21">
        <v>17</v>
      </c>
      <c r="Q29" s="21">
        <v>18</v>
      </c>
      <c r="R29" s="21">
        <v>19.62732278045408</v>
      </c>
      <c r="S29" s="21">
        <v>30.267721954576739</v>
      </c>
      <c r="T29" s="21">
        <v>735</v>
      </c>
      <c r="U29" s="21">
        <v>10.78136363636364</v>
      </c>
      <c r="V29" s="21">
        <v>11.14826086956522</v>
      </c>
      <c r="W29" s="21">
        <v>12.05916666666667</v>
      </c>
      <c r="X29" s="21">
        <v>12.684333333333329</v>
      </c>
      <c r="Y29" s="21">
        <v>13.536551724137929</v>
      </c>
      <c r="Z29" s="21">
        <v>13.94212121212122</v>
      </c>
      <c r="AA29" s="21"/>
      <c r="AB29" s="21"/>
      <c r="AC29" s="21"/>
      <c r="AD29" s="21"/>
      <c r="AF29">
        <v>2177.2846830409089</v>
      </c>
      <c r="AG29">
        <v>2241.5001077956522</v>
      </c>
      <c r="AH29">
        <v>2416.461639475001</v>
      </c>
      <c r="AI29">
        <v>2530.483044056667</v>
      </c>
      <c r="AJ29">
        <v>2696.394645765517</v>
      </c>
      <c r="AK29">
        <v>2742.6320343794109</v>
      </c>
      <c r="AQ29">
        <v>106.8695652173913</v>
      </c>
      <c r="AR29">
        <v>111.24</v>
      </c>
      <c r="AS29">
        <v>123.5384615384615</v>
      </c>
      <c r="AT29">
        <v>132.70967741935479</v>
      </c>
      <c r="AU29">
        <v>140.1875</v>
      </c>
      <c r="AV29">
        <v>151.62857142857141</v>
      </c>
      <c r="BB29">
        <v>0.15793414946477979</v>
      </c>
      <c r="BC29">
        <v>0.46035525183007192</v>
      </c>
      <c r="BD29">
        <v>0.47173296187213998</v>
      </c>
      <c r="BE29">
        <v>0.44284496057820311</v>
      </c>
      <c r="BF29">
        <v>0.43477554293402898</v>
      </c>
      <c r="BG29" s="28">
        <v>0.99625183854784283</v>
      </c>
      <c r="BH29" s="28">
        <v>1.009420123729077</v>
      </c>
      <c r="BI29" s="28">
        <v>0.29040104100768638</v>
      </c>
      <c r="BJ29" s="28">
        <v>0.28556521143251729</v>
      </c>
      <c r="BK29" s="28">
        <v>0.81516401886154011</v>
      </c>
      <c r="BM29">
        <v>18</v>
      </c>
      <c r="BN29">
        <v>4.0999999999999996</v>
      </c>
      <c r="BO29" s="21">
        <v>11.021387113266851</v>
      </c>
      <c r="BP29" s="21">
        <v>11.22917250848973</v>
      </c>
      <c r="BQ29" s="21">
        <v>12.13751014122556</v>
      </c>
      <c r="BR29" s="21">
        <v>12.743738865785341</v>
      </c>
      <c r="BS29" s="21">
        <v>13.55545816390071</v>
      </c>
      <c r="BT29" s="21">
        <v>13.89972721478008</v>
      </c>
      <c r="BU29" s="21"/>
      <c r="BV29" s="21"/>
      <c r="BW29" s="21"/>
      <c r="BX29" s="21"/>
      <c r="BZ29">
        <v>7</v>
      </c>
      <c r="CA29">
        <v>9</v>
      </c>
      <c r="CB29">
        <v>10</v>
      </c>
      <c r="CC29">
        <v>11</v>
      </c>
      <c r="CD29">
        <v>11</v>
      </c>
      <c r="CE29">
        <v>13</v>
      </c>
      <c r="CF29">
        <v>15</v>
      </c>
      <c r="CG29">
        <v>17</v>
      </c>
      <c r="CH29">
        <v>20</v>
      </c>
    </row>
    <row r="30" spans="2:87" x14ac:dyDescent="0.3">
      <c r="B30" s="21" t="s">
        <v>124</v>
      </c>
      <c r="C30" s="21" t="s">
        <v>93</v>
      </c>
      <c r="D30" s="21">
        <v>46</v>
      </c>
      <c r="E30" s="21">
        <v>1.778</v>
      </c>
      <c r="F30" s="21">
        <v>68.599999999999994</v>
      </c>
      <c r="G30" s="21">
        <v>4</v>
      </c>
      <c r="H30" s="21">
        <v>50</v>
      </c>
      <c r="I30" s="21" t="s">
        <v>94</v>
      </c>
      <c r="J30" s="5">
        <v>2.569444444444444E-2</v>
      </c>
      <c r="K30" s="21">
        <v>14.137932429380999</v>
      </c>
      <c r="L30" s="21">
        <v>52.146989823226427</v>
      </c>
      <c r="M30" s="21">
        <v>1.2</v>
      </c>
      <c r="N30" s="21">
        <v>177</v>
      </c>
      <c r="O30" s="21">
        <v>20</v>
      </c>
      <c r="P30" s="21">
        <v>16</v>
      </c>
      <c r="Q30" s="21">
        <v>17</v>
      </c>
      <c r="R30" s="21">
        <v>19.949680000000139</v>
      </c>
      <c r="S30" s="21">
        <v>30.976800000000001</v>
      </c>
      <c r="T30" s="21">
        <v>733.89440000000002</v>
      </c>
      <c r="U30" s="21">
        <v>10.92909090909091</v>
      </c>
      <c r="V30" s="21">
        <v>12.29846153846154</v>
      </c>
      <c r="W30" s="21">
        <v>13.923214285714289</v>
      </c>
      <c r="X30" s="21">
        <v>14.84060606060606</v>
      </c>
      <c r="Y30" s="21">
        <v>15.878</v>
      </c>
      <c r="Z30" s="21"/>
      <c r="AA30" s="21"/>
      <c r="AB30" s="21"/>
      <c r="AC30" s="21"/>
      <c r="AD30" s="21"/>
      <c r="AF30">
        <v>2248.5779493409091</v>
      </c>
      <c r="AG30">
        <v>2490.532492011539</v>
      </c>
      <c r="AH30">
        <v>2795.007728864286</v>
      </c>
      <c r="AI30">
        <v>2953.173083460606</v>
      </c>
      <c r="AJ30">
        <v>3144.0910871657138</v>
      </c>
      <c r="AQ30">
        <v>115.7826086956522</v>
      </c>
      <c r="AR30">
        <v>126.1851851851852</v>
      </c>
      <c r="AS30">
        <v>138.58620689655169</v>
      </c>
      <c r="AT30">
        <v>148.20588235294119</v>
      </c>
      <c r="AU30">
        <v>157.70270270270271</v>
      </c>
      <c r="BB30">
        <v>0.1735933692269151</v>
      </c>
      <c r="BC30">
        <v>0.46373214035833948</v>
      </c>
      <c r="BD30">
        <v>0.45661608220382449</v>
      </c>
      <c r="BE30">
        <v>0.41965347079040671</v>
      </c>
      <c r="BF30">
        <v>0.41561967701252062</v>
      </c>
      <c r="BG30" s="28">
        <v>0.97504099226388774</v>
      </c>
      <c r="BH30" s="28">
        <v>0.96907287958215493</v>
      </c>
      <c r="BI30" s="28">
        <v>0.28126007538857112</v>
      </c>
      <c r="BJ30" s="28">
        <v>0.28129434446529111</v>
      </c>
      <c r="BK30" s="28">
        <v>0.80594306407697869</v>
      </c>
      <c r="BM30">
        <v>19</v>
      </c>
      <c r="BO30" s="21">
        <v>11.133498433645711</v>
      </c>
      <c r="BP30" s="21">
        <v>12.43218271408001</v>
      </c>
      <c r="BQ30" s="21">
        <v>14.007790594815789</v>
      </c>
      <c r="BR30" s="21">
        <v>14.86533688632737</v>
      </c>
      <c r="BS30" s="21">
        <v>15.869688269307339</v>
      </c>
      <c r="BT30" s="21"/>
      <c r="BU30" s="21"/>
      <c r="BV30" s="21"/>
      <c r="BW30" s="21"/>
      <c r="BX30" s="21"/>
      <c r="BZ30">
        <v>7</v>
      </c>
      <c r="CA30">
        <v>9</v>
      </c>
      <c r="CB30">
        <v>11</v>
      </c>
      <c r="CC30">
        <v>12</v>
      </c>
      <c r="CD30">
        <v>14</v>
      </c>
      <c r="CE30">
        <v>17</v>
      </c>
      <c r="CF30">
        <v>19</v>
      </c>
      <c r="CG30">
        <v>20</v>
      </c>
    </row>
    <row r="31" spans="2:87" x14ac:dyDescent="0.3">
      <c r="B31" s="21" t="s">
        <v>125</v>
      </c>
      <c r="C31" s="21" t="s">
        <v>93</v>
      </c>
      <c r="D31" s="21">
        <v>44</v>
      </c>
      <c r="E31" s="21">
        <v>1.7549999999999999</v>
      </c>
      <c r="F31" s="21">
        <v>76.7</v>
      </c>
      <c r="G31" s="21">
        <v>4</v>
      </c>
      <c r="H31" s="21">
        <v>40</v>
      </c>
      <c r="I31" s="21" t="s">
        <v>94</v>
      </c>
      <c r="J31" s="5">
        <v>3.0555555555555551E-2</v>
      </c>
      <c r="K31" s="21">
        <v>12.698270038558061</v>
      </c>
      <c r="L31" s="21">
        <v>54.741303371664493</v>
      </c>
      <c r="M31" s="21">
        <v>0.65</v>
      </c>
      <c r="N31" s="21">
        <v>177</v>
      </c>
      <c r="O31" s="21">
        <v>20</v>
      </c>
      <c r="P31" s="21">
        <v>14</v>
      </c>
      <c r="Q31" s="21">
        <v>15</v>
      </c>
      <c r="R31" s="21">
        <v>23.07087813620068</v>
      </c>
      <c r="S31" s="21">
        <v>39.095878136200717</v>
      </c>
      <c r="T31" s="21">
        <v>728.99551971326161</v>
      </c>
      <c r="U31" s="21">
        <v>12.938064516129041</v>
      </c>
      <c r="V31" s="21">
        <v>14.277272727272729</v>
      </c>
      <c r="W31" s="21">
        <v>16.212564102564109</v>
      </c>
      <c r="X31" s="21"/>
      <c r="Y31" s="21"/>
      <c r="Z31" s="21"/>
      <c r="AA31" s="21"/>
      <c r="AB31" s="21"/>
      <c r="AC31" s="21"/>
      <c r="AD31" s="21"/>
      <c r="AF31">
        <v>2786.521621241935</v>
      </c>
      <c r="AG31">
        <v>3081.8254059848482</v>
      </c>
      <c r="AH31">
        <v>3508.5058805526319</v>
      </c>
      <c r="AQ31">
        <v>125.6363636363636</v>
      </c>
      <c r="AR31">
        <v>138.48571428571429</v>
      </c>
      <c r="AS31">
        <v>154.75</v>
      </c>
      <c r="BB31">
        <v>0.17860803194867561</v>
      </c>
      <c r="BC31">
        <v>0.42081906191514162</v>
      </c>
      <c r="BD31">
        <v>0.4312853367722726</v>
      </c>
      <c r="BE31">
        <v>0.40207538309346141</v>
      </c>
      <c r="BF31">
        <v>0.39876520612906158</v>
      </c>
      <c r="BG31" s="28">
        <v>0.92495001438591218</v>
      </c>
      <c r="BH31" s="28">
        <v>0.9333142696155442</v>
      </c>
      <c r="BI31" s="28">
        <v>0.27069650950936769</v>
      </c>
      <c r="BJ31" s="28">
        <v>0.27087855339420291</v>
      </c>
      <c r="BK31" s="28">
        <v>0.82586785799927176</v>
      </c>
      <c r="BL31" s="27">
        <v>6.7708333333333344E-3</v>
      </c>
      <c r="BM31">
        <v>19</v>
      </c>
      <c r="BN31">
        <v>6.3</v>
      </c>
      <c r="BO31" s="21">
        <v>13.493866468814311</v>
      </c>
      <c r="BP31" s="21">
        <v>14.88658745019573</v>
      </c>
      <c r="BQ31" s="21">
        <v>16.905691384427659</v>
      </c>
      <c r="BR31" s="21"/>
      <c r="BS31" s="21"/>
      <c r="BT31" s="21"/>
      <c r="BU31" s="21"/>
      <c r="BV31" s="21"/>
      <c r="BW31" s="21"/>
      <c r="BX31" s="21"/>
      <c r="BZ31">
        <v>8</v>
      </c>
      <c r="CA31">
        <v>10</v>
      </c>
      <c r="CB31">
        <v>12</v>
      </c>
      <c r="CC31">
        <v>15</v>
      </c>
      <c r="CD31">
        <v>19</v>
      </c>
      <c r="CE31">
        <v>20</v>
      </c>
    </row>
    <row r="32" spans="2:87" x14ac:dyDescent="0.3">
      <c r="B32" s="21" t="s">
        <v>126</v>
      </c>
      <c r="C32" s="21" t="s">
        <v>93</v>
      </c>
      <c r="D32" s="21">
        <v>29</v>
      </c>
      <c r="E32" s="21">
        <v>1.7529999999999999</v>
      </c>
      <c r="F32" s="21">
        <v>74.599999999999994</v>
      </c>
      <c r="G32" s="21">
        <v>5</v>
      </c>
      <c r="H32" s="21">
        <v>50</v>
      </c>
      <c r="I32" s="21" t="s">
        <v>94</v>
      </c>
      <c r="J32" s="5">
        <v>2.7662037037037041E-2</v>
      </c>
      <c r="K32" s="21">
        <v>14.47850328533076</v>
      </c>
      <c r="L32" s="21">
        <v>43.872298213941022</v>
      </c>
      <c r="M32" s="21">
        <v>1.1100000000000001</v>
      </c>
      <c r="N32" s="21">
        <v>204</v>
      </c>
      <c r="O32" s="21">
        <v>20</v>
      </c>
      <c r="P32" s="21">
        <v>17</v>
      </c>
      <c r="Q32" s="21">
        <v>18</v>
      </c>
      <c r="R32" s="21">
        <v>23.788204108681249</v>
      </c>
      <c r="S32" s="21">
        <v>38.716368455931082</v>
      </c>
      <c r="T32" s="21">
        <v>728</v>
      </c>
      <c r="U32" s="21">
        <v>11.53153846153846</v>
      </c>
      <c r="V32" s="21">
        <v>12.354799999999999</v>
      </c>
      <c r="W32" s="21">
        <v>13.38192307692308</v>
      </c>
      <c r="X32" s="21">
        <v>13.6353125</v>
      </c>
      <c r="Y32" s="21">
        <v>14.1546875</v>
      </c>
      <c r="Z32" s="21"/>
      <c r="AA32" s="21"/>
      <c r="AB32" s="21"/>
      <c r="AC32" s="21"/>
      <c r="AD32" s="21"/>
      <c r="AF32">
        <v>2334.043427934615</v>
      </c>
      <c r="AG32">
        <v>2454.8453974125</v>
      </c>
      <c r="AH32">
        <v>2679.5228251038461</v>
      </c>
      <c r="AI32">
        <v>2711.4485433625009</v>
      </c>
      <c r="AJ32">
        <v>2790.412725525</v>
      </c>
      <c r="AQ32">
        <v>139.59259259259261</v>
      </c>
      <c r="AR32">
        <v>151.91999999999999</v>
      </c>
      <c r="AS32">
        <v>161.7037037037037</v>
      </c>
      <c r="AT32">
        <v>175.8125</v>
      </c>
      <c r="AU32">
        <v>183.38235294117649</v>
      </c>
      <c r="BB32">
        <v>0.18637341095465709</v>
      </c>
      <c r="BC32">
        <v>0.42767957038551963</v>
      </c>
      <c r="BD32">
        <v>0.42998761719409878</v>
      </c>
      <c r="BE32">
        <v>0.39916397972312351</v>
      </c>
      <c r="BF32">
        <v>0.40248031438431447</v>
      </c>
      <c r="BG32" s="28">
        <v>0.92624158691204594</v>
      </c>
      <c r="BH32" s="28">
        <v>0.9299106676673049</v>
      </c>
      <c r="BI32" s="28">
        <v>0.27428872105303348</v>
      </c>
      <c r="BJ32" s="28">
        <v>0.27115063533242262</v>
      </c>
      <c r="BK32" s="28">
        <v>0.82492387271032452</v>
      </c>
      <c r="BM32">
        <v>20</v>
      </c>
      <c r="BN32">
        <v>4.5999999999999996</v>
      </c>
      <c r="BO32" s="21">
        <v>11.74561598096407</v>
      </c>
      <c r="BP32" s="21">
        <v>12.29088337659965</v>
      </c>
      <c r="BQ32" s="21">
        <v>13.31537334270625</v>
      </c>
      <c r="BR32" s="21">
        <v>13.624674256539819</v>
      </c>
      <c r="BS32" s="21">
        <v>14.15309709082519</v>
      </c>
      <c r="BT32" s="21"/>
      <c r="BU32" s="21"/>
      <c r="BV32" s="21"/>
      <c r="BW32" s="21"/>
      <c r="BX32" s="21"/>
      <c r="BZ32">
        <v>10</v>
      </c>
      <c r="CA32">
        <v>11</v>
      </c>
      <c r="CB32">
        <v>12</v>
      </c>
      <c r="CC32">
        <v>14</v>
      </c>
      <c r="CD32">
        <v>15</v>
      </c>
      <c r="CE32">
        <v>16</v>
      </c>
      <c r="CF32">
        <v>18</v>
      </c>
      <c r="CG32">
        <v>19</v>
      </c>
      <c r="CH32">
        <v>20</v>
      </c>
    </row>
    <row r="33" spans="2:89" x14ac:dyDescent="0.3">
      <c r="B33" s="21" t="s">
        <v>127</v>
      </c>
      <c r="C33" s="21" t="s">
        <v>93</v>
      </c>
      <c r="D33" s="21">
        <v>40</v>
      </c>
      <c r="E33" s="21">
        <v>1.827</v>
      </c>
      <c r="F33" s="21">
        <v>69</v>
      </c>
      <c r="G33" s="21">
        <v>6</v>
      </c>
      <c r="H33" s="21">
        <v>75</v>
      </c>
      <c r="I33" s="21" t="s">
        <v>94</v>
      </c>
      <c r="J33" s="5">
        <v>2.6041666666666671E-2</v>
      </c>
      <c r="K33" s="21">
        <v>14.28950677820665</v>
      </c>
      <c r="L33" s="21">
        <v>59.838554205797109</v>
      </c>
      <c r="M33" s="21">
        <v>0.84</v>
      </c>
      <c r="N33" s="21">
        <v>175</v>
      </c>
      <c r="O33" s="21">
        <v>20</v>
      </c>
      <c r="P33" s="21">
        <v>17</v>
      </c>
      <c r="Q33" s="21">
        <v>17</v>
      </c>
      <c r="R33" s="21">
        <v>22.42415812591511</v>
      </c>
      <c r="S33" s="21">
        <v>36.587115666178633</v>
      </c>
      <c r="T33" s="21">
        <v>722.00146412884339</v>
      </c>
      <c r="U33" s="21">
        <v>12.675185185185191</v>
      </c>
      <c r="V33" s="21">
        <v>13.19233333333333</v>
      </c>
      <c r="W33" s="21">
        <v>14.2553125</v>
      </c>
      <c r="X33" s="21">
        <v>14.796857142857149</v>
      </c>
      <c r="Y33" s="21">
        <v>15.69189189189189</v>
      </c>
      <c r="Z33" s="21"/>
      <c r="AA33" s="21"/>
      <c r="AB33" s="21"/>
      <c r="AC33" s="21"/>
      <c r="AD33" s="21"/>
      <c r="AF33">
        <v>2614.937908329629</v>
      </c>
      <c r="AG33">
        <v>2726.2827280299998</v>
      </c>
      <c r="AH33">
        <v>2952.6784512312488</v>
      </c>
      <c r="AI33">
        <v>3060.1494834199989</v>
      </c>
      <c r="AJ33">
        <v>3238.0027425942858</v>
      </c>
      <c r="AQ33">
        <v>116.73333333333331</v>
      </c>
      <c r="AR33">
        <v>129.25</v>
      </c>
      <c r="AS33">
        <v>140.1764705882353</v>
      </c>
      <c r="AT33">
        <v>148.35135135135141</v>
      </c>
      <c r="AU33">
        <v>155.9736842105263</v>
      </c>
      <c r="BB33">
        <v>0.17999710985721501</v>
      </c>
      <c r="BC33">
        <v>0.44308305381812357</v>
      </c>
      <c r="BD33">
        <v>0.44561808583298262</v>
      </c>
      <c r="BE33">
        <v>0.41245920396137181</v>
      </c>
      <c r="BF33">
        <v>0.40853737782436239</v>
      </c>
      <c r="BG33" s="28">
        <v>0.96021578520063366</v>
      </c>
      <c r="BH33" s="28">
        <v>0.96224583141387454</v>
      </c>
      <c r="BI33" s="28">
        <v>0.31285488985394888</v>
      </c>
      <c r="BJ33" s="28">
        <v>0.30839895637755382</v>
      </c>
      <c r="BK33" s="28">
        <v>0.86576919169274591</v>
      </c>
      <c r="BL33" s="27">
        <v>1.954861111111111E-2</v>
      </c>
      <c r="BM33">
        <v>19</v>
      </c>
      <c r="BN33">
        <v>7.8</v>
      </c>
      <c r="BO33" s="21">
        <v>12.9298392078431</v>
      </c>
      <c r="BP33" s="21">
        <v>13.49906664427605</v>
      </c>
      <c r="BQ33" s="21">
        <v>14.577968086426781</v>
      </c>
      <c r="BR33" s="21">
        <v>15.117075025660631</v>
      </c>
      <c r="BS33" s="21">
        <v>16.04556641213788</v>
      </c>
      <c r="BT33" s="21"/>
      <c r="BU33" s="21"/>
      <c r="BV33" s="21"/>
      <c r="BW33" s="21"/>
      <c r="BX33" s="21"/>
      <c r="BZ33">
        <v>7</v>
      </c>
      <c r="CA33">
        <v>8</v>
      </c>
      <c r="CB33">
        <v>12</v>
      </c>
      <c r="CC33">
        <v>13</v>
      </c>
      <c r="CD33">
        <v>15</v>
      </c>
      <c r="CE33">
        <v>17</v>
      </c>
      <c r="CF33">
        <v>18</v>
      </c>
      <c r="CG33">
        <v>20</v>
      </c>
    </row>
    <row r="34" spans="2:89" x14ac:dyDescent="0.3">
      <c r="B34" s="21" t="s">
        <v>128</v>
      </c>
      <c r="C34" s="21" t="s">
        <v>93</v>
      </c>
      <c r="D34" s="21">
        <v>27</v>
      </c>
      <c r="E34" s="21">
        <v>1.8120000000000001</v>
      </c>
      <c r="F34" s="21">
        <v>72</v>
      </c>
      <c r="G34" s="21">
        <v>4</v>
      </c>
      <c r="H34" s="21">
        <v>25</v>
      </c>
      <c r="I34" s="21" t="s">
        <v>94</v>
      </c>
      <c r="J34" s="5">
        <v>3.2638888888888891E-2</v>
      </c>
      <c r="K34" s="21">
        <v>13.29322756045503</v>
      </c>
      <c r="L34" s="21">
        <v>48.293394266111108</v>
      </c>
      <c r="M34" s="21">
        <v>1.06</v>
      </c>
      <c r="N34" s="21">
        <v>198</v>
      </c>
      <c r="O34" s="21">
        <v>20</v>
      </c>
      <c r="P34" s="21">
        <v>15</v>
      </c>
      <c r="Q34" s="21">
        <v>16</v>
      </c>
      <c r="R34" s="21">
        <v>23.517597471022349</v>
      </c>
      <c r="S34" s="21">
        <v>36.558482613277143</v>
      </c>
      <c r="T34" s="21">
        <v>726</v>
      </c>
      <c r="U34" s="21">
        <v>12.6915</v>
      </c>
      <c r="V34" s="21">
        <v>13.72714285714286</v>
      </c>
      <c r="W34" s="21">
        <v>14.02518518518519</v>
      </c>
      <c r="X34" s="21">
        <v>15.1228</v>
      </c>
      <c r="Y34" s="21"/>
      <c r="Z34" s="21"/>
      <c r="AA34" s="21"/>
      <c r="AB34" s="21"/>
      <c r="AC34" s="21"/>
      <c r="AD34" s="21"/>
      <c r="AF34">
        <v>2556.2066127100002</v>
      </c>
      <c r="AG34">
        <v>2755.014540895238</v>
      </c>
      <c r="AH34">
        <v>2811.2231102814808</v>
      </c>
      <c r="AI34">
        <v>3021.9993187119999</v>
      </c>
      <c r="AQ34">
        <v>148.85714285714289</v>
      </c>
      <c r="AR34">
        <v>166.47826086956519</v>
      </c>
      <c r="AS34">
        <v>170.96296296296299</v>
      </c>
      <c r="AT34">
        <v>181</v>
      </c>
      <c r="BB34">
        <v>0.18206771937855001</v>
      </c>
      <c r="BC34">
        <v>0.43670143272550488</v>
      </c>
      <c r="BD34">
        <v>0.43273021218137531</v>
      </c>
      <c r="BE34">
        <v>0.42249292130276223</v>
      </c>
      <c r="BF34">
        <v>0.41990992875338012</v>
      </c>
      <c r="BG34" s="28">
        <v>0.96713371392917313</v>
      </c>
      <c r="BH34" s="28">
        <v>0.95943004587958225</v>
      </c>
      <c r="BI34" s="28">
        <v>0.28634609542711259</v>
      </c>
      <c r="BJ34" s="28">
        <v>0.28636184579731699</v>
      </c>
      <c r="BK34" s="28">
        <v>0.84871812009562242</v>
      </c>
      <c r="BL34" s="27">
        <v>1.284722222222222E-2</v>
      </c>
      <c r="BM34">
        <v>20</v>
      </c>
      <c r="BN34">
        <v>8.6999999999999993</v>
      </c>
      <c r="BO34" s="21">
        <v>12.823612523731491</v>
      </c>
      <c r="BP34" s="21">
        <v>13.78815805194529</v>
      </c>
      <c r="BQ34" s="21">
        <v>14.105902513047321</v>
      </c>
      <c r="BR34" s="21">
        <v>15.165264146587271</v>
      </c>
      <c r="BS34" s="21"/>
      <c r="BT34" s="21"/>
      <c r="BU34" s="21"/>
      <c r="BV34" s="21"/>
      <c r="BW34" s="21"/>
      <c r="BX34" s="21"/>
      <c r="BZ34">
        <v>10</v>
      </c>
      <c r="CA34">
        <v>12</v>
      </c>
      <c r="CB34">
        <v>13</v>
      </c>
      <c r="CC34">
        <v>15</v>
      </c>
      <c r="CD34">
        <v>16</v>
      </c>
      <c r="CE34">
        <v>18</v>
      </c>
      <c r="CF34">
        <v>20</v>
      </c>
    </row>
    <row r="35" spans="2:89" x14ac:dyDescent="0.3">
      <c r="B35" s="21" t="s">
        <v>129</v>
      </c>
      <c r="C35" s="21" t="s">
        <v>93</v>
      </c>
      <c r="D35" s="21">
        <v>31</v>
      </c>
      <c r="E35" s="21">
        <v>1.7490000000000001</v>
      </c>
      <c r="F35" s="21">
        <v>63.4</v>
      </c>
      <c r="G35" s="21">
        <v>8</v>
      </c>
      <c r="H35" s="21">
        <v>90</v>
      </c>
      <c r="I35" s="21" t="s">
        <v>130</v>
      </c>
      <c r="J35" s="5">
        <v>2.1678240740740741E-2</v>
      </c>
      <c r="K35" s="21">
        <v>17.113966211934802</v>
      </c>
      <c r="L35" s="21">
        <v>54.298318237223967</v>
      </c>
      <c r="M35" s="21">
        <v>1.04</v>
      </c>
      <c r="N35" s="21">
        <v>190</v>
      </c>
      <c r="O35" s="21">
        <v>20</v>
      </c>
      <c r="P35" s="21">
        <v>20</v>
      </c>
      <c r="Q35" s="21">
        <v>21</v>
      </c>
      <c r="R35" s="21">
        <v>20.657376305038401</v>
      </c>
      <c r="S35" s="21">
        <v>28.443486155242852</v>
      </c>
      <c r="T35" s="21">
        <v>750.91239219246484</v>
      </c>
      <c r="U35" s="21">
        <v>10.125185185185179</v>
      </c>
      <c r="V35" s="21">
        <v>10.633599999999999</v>
      </c>
      <c r="W35" s="21">
        <v>11.394</v>
      </c>
      <c r="X35" s="21">
        <v>12.459687499999999</v>
      </c>
      <c r="Y35" s="21">
        <v>12.898125</v>
      </c>
      <c r="Z35" s="21">
        <v>13.916060606060601</v>
      </c>
      <c r="AA35" s="21">
        <v>14.355833333333329</v>
      </c>
      <c r="AB35" s="21">
        <v>15.087249999999999</v>
      </c>
      <c r="AC35" s="21"/>
      <c r="AD35" s="21"/>
      <c r="AF35">
        <v>2056.6010230370371</v>
      </c>
      <c r="AG35">
        <v>2152.8099287199998</v>
      </c>
      <c r="AH35">
        <v>2283.443170666666</v>
      </c>
      <c r="AI35">
        <v>2475.9697183303019</v>
      </c>
      <c r="AJ35">
        <v>2583.619896096875</v>
      </c>
      <c r="AK35">
        <v>2798.2593588393938</v>
      </c>
      <c r="AL35">
        <v>2869.279235352778</v>
      </c>
      <c r="AM35">
        <v>2985.5536300575</v>
      </c>
      <c r="AQ35">
        <v>111.551724137931</v>
      </c>
      <c r="AR35">
        <v>117.6296296296296</v>
      </c>
      <c r="AS35">
        <v>126.0645161290323</v>
      </c>
      <c r="AT35">
        <v>134.2352941176471</v>
      </c>
      <c r="AU35">
        <v>145.6764705882353</v>
      </c>
      <c r="AV35">
        <v>154.02857142857141</v>
      </c>
      <c r="AW35">
        <v>161.82051282051279</v>
      </c>
      <c r="AX35">
        <v>169.76190476190479</v>
      </c>
      <c r="BB35">
        <v>0.1686470346079027</v>
      </c>
      <c r="BC35">
        <v>0.42223394545331011</v>
      </c>
      <c r="BD35">
        <v>0.43812945084073762</v>
      </c>
      <c r="BE35">
        <v>0.41491927150842312</v>
      </c>
      <c r="BF35">
        <v>0.41186782582723402</v>
      </c>
      <c r="BG35" s="28">
        <v>0.93240797519683838</v>
      </c>
      <c r="BH35" s="28">
        <v>0.94455057382583618</v>
      </c>
      <c r="BI35" s="28">
        <v>0.28158265085256062</v>
      </c>
      <c r="BJ35" s="28">
        <v>0.28643999421412603</v>
      </c>
      <c r="BK35" s="28">
        <v>0.81052072548866283</v>
      </c>
      <c r="BL35" s="27">
        <v>2.4837962962962961E-2</v>
      </c>
      <c r="BM35">
        <v>20</v>
      </c>
      <c r="BN35">
        <v>7.2</v>
      </c>
      <c r="BO35" s="21">
        <v>10.21365047058948</v>
      </c>
      <c r="BP35" s="21">
        <v>10.82810844272273</v>
      </c>
      <c r="BQ35" s="21">
        <v>11.478177988590341</v>
      </c>
      <c r="BR35" s="21">
        <v>12.50535321000976</v>
      </c>
      <c r="BS35" s="21">
        <v>13.040489010099201</v>
      </c>
      <c r="BT35" s="21">
        <v>14.048011608163391</v>
      </c>
      <c r="BU35" s="21">
        <v>14.37745817308671</v>
      </c>
      <c r="BV35" s="21">
        <v>15.04740879807858</v>
      </c>
      <c r="BW35" s="21"/>
      <c r="BX35" s="21"/>
      <c r="BZ35">
        <v>7</v>
      </c>
      <c r="CA35">
        <v>8</v>
      </c>
      <c r="CB35">
        <v>9</v>
      </c>
      <c r="CC35">
        <v>10</v>
      </c>
      <c r="CD35">
        <v>11</v>
      </c>
      <c r="CE35">
        <v>13</v>
      </c>
      <c r="CF35">
        <v>15</v>
      </c>
      <c r="CG35">
        <v>16</v>
      </c>
      <c r="CH35">
        <v>18</v>
      </c>
      <c r="CI35">
        <v>19</v>
      </c>
      <c r="CJ35">
        <v>20</v>
      </c>
      <c r="CK35">
        <v>20</v>
      </c>
    </row>
    <row r="36" spans="2:89" x14ac:dyDescent="0.3">
      <c r="B36" s="21" t="s">
        <v>131</v>
      </c>
      <c r="C36" s="21" t="s">
        <v>93</v>
      </c>
      <c r="D36" s="21">
        <v>23</v>
      </c>
      <c r="E36" s="21">
        <v>1.819</v>
      </c>
      <c r="F36" s="21">
        <v>70</v>
      </c>
      <c r="G36" s="21">
        <v>3</v>
      </c>
      <c r="H36" s="21">
        <v>20</v>
      </c>
      <c r="I36" s="21" t="s">
        <v>94</v>
      </c>
      <c r="J36" s="5">
        <v>3.1944444444444442E-2</v>
      </c>
      <c r="K36" s="21">
        <v>13.903148890028911</v>
      </c>
      <c r="L36" s="21">
        <v>42.711824246761907</v>
      </c>
      <c r="M36" s="21">
        <v>1.61</v>
      </c>
      <c r="N36" s="21">
        <v>185</v>
      </c>
      <c r="O36" s="21">
        <v>19</v>
      </c>
      <c r="P36" s="21">
        <v>16</v>
      </c>
      <c r="Q36" s="21">
        <v>16</v>
      </c>
      <c r="R36" s="21">
        <v>23.781941649899849</v>
      </c>
      <c r="S36" s="21">
        <v>40.061871227364193</v>
      </c>
      <c r="T36" s="21">
        <v>751</v>
      </c>
      <c r="U36" s="21">
        <v>11.597777777777781</v>
      </c>
      <c r="V36" s="21">
        <v>12.07137254901961</v>
      </c>
      <c r="W36" s="21">
        <v>12.24927272727272</v>
      </c>
      <c r="X36" s="21">
        <v>13.145172413793111</v>
      </c>
      <c r="Y36" s="21"/>
      <c r="Z36" s="21"/>
      <c r="AA36" s="21"/>
      <c r="AB36" s="21"/>
      <c r="AC36" s="21"/>
      <c r="AD36" s="21"/>
      <c r="AF36">
        <v>2349.8258882955561</v>
      </c>
      <c r="AG36">
        <v>2414.5715985039219</v>
      </c>
      <c r="AH36">
        <v>2425.7234375509101</v>
      </c>
      <c r="AI36">
        <v>2572.507493254237</v>
      </c>
      <c r="AQ36">
        <v>140.2448979591837</v>
      </c>
      <c r="AR36">
        <v>154.0754716981132</v>
      </c>
      <c r="AS36">
        <v>164.01724137931029</v>
      </c>
      <c r="AT36">
        <v>170.35</v>
      </c>
      <c r="BB36">
        <v>0.16911065847880971</v>
      </c>
      <c r="BC36">
        <v>0.47549443313267131</v>
      </c>
      <c r="BD36">
        <v>0.47613510910203433</v>
      </c>
      <c r="BE36">
        <v>0.43559810093054929</v>
      </c>
      <c r="BF36">
        <v>0.430687824336623</v>
      </c>
      <c r="BG36" s="28">
        <v>1.008054262917975</v>
      </c>
      <c r="BH36" s="28">
        <v>1.0023365681586061</v>
      </c>
      <c r="BI36" s="28">
        <v>0.27681680612911841</v>
      </c>
      <c r="BJ36" s="28">
        <v>0.27601483408089311</v>
      </c>
      <c r="BK36" s="28">
        <v>0.81380458446170967</v>
      </c>
      <c r="BL36" s="27">
        <v>7.5925925925925926E-3</v>
      </c>
      <c r="BM36">
        <v>19</v>
      </c>
      <c r="BN36">
        <v>10.3</v>
      </c>
      <c r="BO36" s="21">
        <v>11.73783797871501</v>
      </c>
      <c r="BP36" s="21">
        <v>12.127560077709029</v>
      </c>
      <c r="BQ36" s="21">
        <v>12.242115951470391</v>
      </c>
      <c r="BR36" s="21">
        <v>13.06570811350082</v>
      </c>
      <c r="BS36" s="21"/>
      <c r="BT36" s="21"/>
      <c r="BU36" s="21"/>
      <c r="BV36" s="21"/>
      <c r="BW36" s="21"/>
      <c r="BX36" s="21"/>
      <c r="BZ36">
        <v>9</v>
      </c>
      <c r="CA36">
        <v>12</v>
      </c>
      <c r="CB36">
        <v>13</v>
      </c>
      <c r="CC36">
        <v>14</v>
      </c>
      <c r="CD36">
        <v>15</v>
      </c>
      <c r="CE36">
        <v>18</v>
      </c>
      <c r="CF36">
        <v>19</v>
      </c>
    </row>
    <row r="37" spans="2:89" x14ac:dyDescent="0.3">
      <c r="B37" s="21" t="s">
        <v>132</v>
      </c>
      <c r="C37" s="21" t="s">
        <v>93</v>
      </c>
      <c r="D37" s="21">
        <v>46</v>
      </c>
      <c r="E37" s="21">
        <v>1.7849999999999999</v>
      </c>
      <c r="F37" s="21">
        <v>80.2</v>
      </c>
      <c r="G37" s="21">
        <v>4</v>
      </c>
      <c r="H37" s="21">
        <v>40</v>
      </c>
      <c r="I37" s="21" t="s">
        <v>94</v>
      </c>
      <c r="J37" s="5">
        <v>2.9166666666666671E-2</v>
      </c>
      <c r="K37" s="21">
        <v>14.113606790660841</v>
      </c>
      <c r="L37" s="21">
        <v>46.064998158520361</v>
      </c>
      <c r="M37" s="21">
        <v>1.1599999999999999</v>
      </c>
      <c r="N37" s="21">
        <v>165</v>
      </c>
      <c r="O37" s="21">
        <v>18</v>
      </c>
      <c r="P37" s="21">
        <v>16</v>
      </c>
      <c r="Q37" s="21">
        <v>16</v>
      </c>
      <c r="R37" s="21">
        <v>22.409046692606871</v>
      </c>
      <c r="S37" s="21">
        <v>35.737354085603123</v>
      </c>
      <c r="T37" s="21">
        <v>734.00194552529183</v>
      </c>
      <c r="U37" s="21">
        <v>12.18631578947369</v>
      </c>
      <c r="V37" s="21">
        <v>13.5045</v>
      </c>
      <c r="W37" s="21">
        <v>14.434545454545461</v>
      </c>
      <c r="X37" s="21">
        <v>15.919166666666669</v>
      </c>
      <c r="Y37" s="21">
        <v>17.407037037037039</v>
      </c>
      <c r="Z37" s="21"/>
      <c r="AA37" s="21"/>
      <c r="AB37" s="21"/>
      <c r="AC37" s="21"/>
      <c r="AD37" s="21"/>
      <c r="AF37">
        <v>2440.3187453263158</v>
      </c>
      <c r="AG37">
        <v>2702.0012905399999</v>
      </c>
      <c r="AH37">
        <v>2869.7296823000001</v>
      </c>
      <c r="AI37">
        <v>3151.373013504166</v>
      </c>
      <c r="AJ37">
        <v>3435.7957340666671</v>
      </c>
      <c r="AQ37">
        <v>115.1</v>
      </c>
      <c r="AR37">
        <v>125.6666666666667</v>
      </c>
      <c r="AS37">
        <v>133.16666666666671</v>
      </c>
      <c r="AT37">
        <v>140.65384615384619</v>
      </c>
      <c r="AU37">
        <v>148.7931034482759</v>
      </c>
      <c r="BB37">
        <v>0.19299309733779041</v>
      </c>
      <c r="BC37">
        <v>0.42679636160148032</v>
      </c>
      <c r="BD37">
        <v>0.42496939885278351</v>
      </c>
      <c r="BE37">
        <v>0.42014002361557301</v>
      </c>
      <c r="BF37">
        <v>0.4216480273310626</v>
      </c>
      <c r="BG37" s="28">
        <v>0.95074954845688564</v>
      </c>
      <c r="BH37" s="28">
        <v>0.95084800828586924</v>
      </c>
      <c r="BI37" s="28">
        <v>0.30533763047802143</v>
      </c>
      <c r="BJ37" s="28">
        <v>0.30203669993700649</v>
      </c>
      <c r="BK37" s="28">
        <v>0.83420122162862254</v>
      </c>
      <c r="BL37" s="27">
        <v>1.0324074074074071E-2</v>
      </c>
      <c r="BM37">
        <v>19</v>
      </c>
      <c r="BN37">
        <v>7.2</v>
      </c>
      <c r="BO37" s="21">
        <v>12.272970212511479</v>
      </c>
      <c r="BP37" s="21">
        <v>13.548692913687219</v>
      </c>
      <c r="BQ37" s="21">
        <v>14.4524417710583</v>
      </c>
      <c r="BR37" s="21">
        <v>15.90448878247275</v>
      </c>
      <c r="BS37" s="21">
        <v>17.365211156540219</v>
      </c>
      <c r="BT37" s="21"/>
      <c r="BU37" s="21"/>
      <c r="BV37" s="21"/>
      <c r="BW37" s="21"/>
      <c r="BX37" s="21"/>
      <c r="BZ37">
        <v>10</v>
      </c>
      <c r="CA37">
        <v>11</v>
      </c>
      <c r="CB37">
        <v>12</v>
      </c>
      <c r="CC37">
        <v>13</v>
      </c>
      <c r="CD37">
        <v>15</v>
      </c>
      <c r="CE37">
        <v>17</v>
      </c>
      <c r="CF37">
        <v>18</v>
      </c>
      <c r="CG37">
        <v>20</v>
      </c>
    </row>
    <row r="38" spans="2:89" x14ac:dyDescent="0.3">
      <c r="B38" s="21" t="s">
        <v>133</v>
      </c>
      <c r="C38" s="21" t="s">
        <v>93</v>
      </c>
      <c r="D38" s="21">
        <v>18</v>
      </c>
      <c r="E38" s="21">
        <v>1.827</v>
      </c>
      <c r="F38" s="21">
        <v>75.599999999999994</v>
      </c>
      <c r="G38" s="21">
        <v>3</v>
      </c>
      <c r="H38" s="21">
        <v>10</v>
      </c>
      <c r="I38" s="21" t="s">
        <v>94</v>
      </c>
      <c r="J38" s="5">
        <v>3.2638888888888891E-2</v>
      </c>
      <c r="K38" s="21">
        <v>12.967262319695431</v>
      </c>
      <c r="L38" s="21">
        <v>41.221504840564378</v>
      </c>
      <c r="M38" s="21">
        <v>1.52</v>
      </c>
      <c r="N38" s="21">
        <v>204</v>
      </c>
      <c r="O38" s="21">
        <v>19</v>
      </c>
      <c r="P38" s="21">
        <v>15</v>
      </c>
      <c r="Q38" s="21">
        <v>15</v>
      </c>
      <c r="R38" s="21">
        <v>21.844505928853689</v>
      </c>
      <c r="S38" s="21">
        <v>33.988932806324108</v>
      </c>
      <c r="T38" s="21">
        <v>743</v>
      </c>
      <c r="U38" s="21">
        <v>12.84</v>
      </c>
      <c r="V38" s="21">
        <v>13.48102564102564</v>
      </c>
      <c r="W38" s="21">
        <v>14.0602380952381</v>
      </c>
      <c r="X38" s="21"/>
      <c r="Y38" s="21"/>
      <c r="Z38" s="21"/>
      <c r="AA38" s="21"/>
      <c r="AB38" s="21"/>
      <c r="AC38" s="21"/>
      <c r="AD38" s="21"/>
      <c r="AF38">
        <v>2574.5339774200002</v>
      </c>
      <c r="AG38">
        <v>2690.4478176487178</v>
      </c>
      <c r="AH38">
        <v>2784.3181940714289</v>
      </c>
      <c r="AQ38">
        <v>154.9473684210526</v>
      </c>
      <c r="AR38">
        <v>170.04761904761901</v>
      </c>
      <c r="AS38">
        <v>180.62222222222221</v>
      </c>
      <c r="BB38">
        <v>0.1717357901685006</v>
      </c>
      <c r="BC38">
        <v>0.45985109520251899</v>
      </c>
      <c r="BD38">
        <v>0.46226579731261069</v>
      </c>
      <c r="BE38">
        <v>0.44475017442150039</v>
      </c>
      <c r="BF38">
        <v>0.44654861833990989</v>
      </c>
      <c r="BG38" s="28">
        <v>1.0062854710297711</v>
      </c>
      <c r="BH38" s="28">
        <v>1.009809076021879</v>
      </c>
      <c r="BI38" s="28">
        <v>0.27851924782391191</v>
      </c>
      <c r="BJ38" s="28">
        <v>0.27666952595081601</v>
      </c>
      <c r="BK38" s="28">
        <v>0.81895272647417494</v>
      </c>
      <c r="BL38" s="27">
        <v>1.278935185185185E-2</v>
      </c>
      <c r="BM38">
        <v>20</v>
      </c>
      <c r="BN38">
        <v>7.9</v>
      </c>
      <c r="BO38" s="21">
        <v>12.91026808025382</v>
      </c>
      <c r="BP38" s="21">
        <v>13.49925301986576</v>
      </c>
      <c r="BQ38" s="21">
        <v>14.025059084795471</v>
      </c>
      <c r="BR38" s="21"/>
      <c r="BS38" s="21"/>
      <c r="BT38" s="21"/>
      <c r="BU38" s="21"/>
      <c r="BV38" s="21"/>
      <c r="BW38" s="21"/>
      <c r="BX38" s="21"/>
      <c r="BZ38">
        <v>10</v>
      </c>
      <c r="CA38">
        <v>11</v>
      </c>
      <c r="CB38">
        <v>11</v>
      </c>
      <c r="CC38">
        <v>13</v>
      </c>
      <c r="CD38">
        <v>15</v>
      </c>
      <c r="CE38">
        <v>19</v>
      </c>
    </row>
    <row r="39" spans="2:89" x14ac:dyDescent="0.3">
      <c r="B39" s="21" t="s">
        <v>134</v>
      </c>
      <c r="C39" s="21" t="s">
        <v>93</v>
      </c>
      <c r="D39" s="21">
        <v>32</v>
      </c>
      <c r="E39" s="21">
        <v>1.8129999999999999</v>
      </c>
      <c r="F39" s="21">
        <v>67.7</v>
      </c>
      <c r="G39" s="21">
        <v>4</v>
      </c>
      <c r="H39" s="21">
        <v>45</v>
      </c>
      <c r="I39" s="21" t="s">
        <v>94</v>
      </c>
      <c r="J39" s="5">
        <v>2.569444444444444E-2</v>
      </c>
      <c r="K39" s="21">
        <v>14.8590200440057</v>
      </c>
      <c r="L39" s="21">
        <v>52.453901050418523</v>
      </c>
      <c r="M39" s="21">
        <v>1.39</v>
      </c>
      <c r="N39" s="21">
        <v>174</v>
      </c>
      <c r="O39" s="21">
        <v>19</v>
      </c>
      <c r="P39" s="21">
        <v>17</v>
      </c>
      <c r="Q39" s="21">
        <v>18</v>
      </c>
      <c r="R39" s="21">
        <v>21.558503937007991</v>
      </c>
      <c r="S39" s="21">
        <v>28.717322834645671</v>
      </c>
      <c r="T39" s="21">
        <v>744.89212598425195</v>
      </c>
      <c r="U39" s="21">
        <v>11.2392</v>
      </c>
      <c r="V39" s="21">
        <v>11.063846153846161</v>
      </c>
      <c r="W39" s="21">
        <v>12.337368421052631</v>
      </c>
      <c r="X39" s="21">
        <v>12.2288</v>
      </c>
      <c r="Y39" s="21">
        <v>13.276666666666671</v>
      </c>
      <c r="Z39" s="21"/>
      <c r="AA39" s="21"/>
      <c r="AB39" s="21"/>
      <c r="AC39" s="21"/>
      <c r="AD39" s="21"/>
      <c r="AF39">
        <v>2260.8005946080011</v>
      </c>
      <c r="AG39">
        <v>2212.755361184616</v>
      </c>
      <c r="AH39">
        <v>2459.757729226315</v>
      </c>
      <c r="AI39">
        <v>2421.620677504</v>
      </c>
      <c r="AJ39">
        <v>2623.5357713407411</v>
      </c>
      <c r="AQ39">
        <v>125.6296296296296</v>
      </c>
      <c r="AR39">
        <v>129.07142857142861</v>
      </c>
      <c r="AS39">
        <v>136.4736842105263</v>
      </c>
      <c r="AT39">
        <v>143.55555555555549</v>
      </c>
      <c r="AU39">
        <v>150.67857142857139</v>
      </c>
      <c r="BB39">
        <v>0.1826920619064144</v>
      </c>
      <c r="BC39">
        <v>0.43463099782491371</v>
      </c>
      <c r="BD39">
        <v>0.44071670285982828</v>
      </c>
      <c r="BE39">
        <v>0.40495988558050788</v>
      </c>
      <c r="BF39">
        <v>0.39872293975533057</v>
      </c>
      <c r="BG39" s="28">
        <v>0.93044988811016083</v>
      </c>
      <c r="BH39" s="28">
        <v>0.93479698928801913</v>
      </c>
      <c r="BI39" s="28">
        <v>0.28811998490374963</v>
      </c>
      <c r="BJ39" s="28">
        <v>0.29331307698643971</v>
      </c>
      <c r="BK39" s="28">
        <v>0.88037656130091002</v>
      </c>
      <c r="BL39" s="27">
        <v>1.6134259259259261E-2</v>
      </c>
      <c r="BM39">
        <v>19</v>
      </c>
      <c r="BN39">
        <v>3.9</v>
      </c>
      <c r="BO39" s="21">
        <v>11.207697970282791</v>
      </c>
      <c r="BP39" s="21">
        <v>11.09167189454581</v>
      </c>
      <c r="BQ39" s="21">
        <v>12.412375745715121</v>
      </c>
      <c r="BR39" s="21">
        <v>12.181685866881249</v>
      </c>
      <c r="BS39" s="21">
        <v>13.252187288333531</v>
      </c>
      <c r="BT39" s="21"/>
      <c r="BU39" s="21"/>
      <c r="BV39" s="21"/>
      <c r="BW39" s="21"/>
      <c r="BX39" s="21"/>
      <c r="BZ39">
        <v>8</v>
      </c>
      <c r="CA39">
        <v>10</v>
      </c>
      <c r="CB39">
        <v>12</v>
      </c>
      <c r="CC39">
        <v>13</v>
      </c>
      <c r="CD39">
        <v>14</v>
      </c>
      <c r="CE39">
        <v>15</v>
      </c>
      <c r="CF39">
        <v>16</v>
      </c>
      <c r="CG39">
        <v>18</v>
      </c>
      <c r="CH39">
        <v>19</v>
      </c>
    </row>
    <row r="40" spans="2:89" x14ac:dyDescent="0.3">
      <c r="B40" s="21" t="s">
        <v>135</v>
      </c>
      <c r="C40" s="21" t="s">
        <v>98</v>
      </c>
      <c r="D40" s="21">
        <v>26</v>
      </c>
      <c r="E40" s="21">
        <v>1.76</v>
      </c>
      <c r="F40" s="21">
        <v>71.599999999999994</v>
      </c>
      <c r="G40" s="21">
        <v>5</v>
      </c>
      <c r="H40" s="21">
        <v>30</v>
      </c>
      <c r="J40" s="5">
        <v>3.5416666666666673E-2</v>
      </c>
      <c r="K40" s="21">
        <v>12.569651906993039</v>
      </c>
      <c r="L40" s="21">
        <v>39.839954126815641</v>
      </c>
      <c r="M40" s="21">
        <v>1.2</v>
      </c>
      <c r="N40" s="21">
        <v>189</v>
      </c>
      <c r="O40" s="21">
        <v>20</v>
      </c>
      <c r="P40" s="21">
        <v>14</v>
      </c>
      <c r="Q40" s="21">
        <v>15</v>
      </c>
      <c r="R40" s="21">
        <v>22.328676470588221</v>
      </c>
      <c r="S40" s="21">
        <v>45.532169117647058</v>
      </c>
      <c r="T40" s="21">
        <v>748</v>
      </c>
      <c r="U40">
        <v>10.842142857142861</v>
      </c>
      <c r="V40">
        <v>12.026666666666671</v>
      </c>
      <c r="W40">
        <v>13.075625</v>
      </c>
      <c r="AF40">
        <v>2236.886889599999</v>
      </c>
      <c r="AG40">
        <v>2449.920858166668</v>
      </c>
      <c r="AH40">
        <v>2641.9560030031248</v>
      </c>
      <c r="AQ40">
        <v>142.13793103448279</v>
      </c>
      <c r="AR40">
        <v>158.0625</v>
      </c>
      <c r="AS40">
        <v>172.4</v>
      </c>
      <c r="BB40">
        <v>0.15899418894603329</v>
      </c>
      <c r="BC40">
        <v>0.4484506590325314</v>
      </c>
      <c r="BD40">
        <v>0.4522336193742833</v>
      </c>
      <c r="BE40">
        <v>0.40071843329013263</v>
      </c>
      <c r="BF40">
        <v>0.40422500568480402</v>
      </c>
      <c r="BG40" s="28">
        <v>0.95328064811857127</v>
      </c>
      <c r="BH40" s="28">
        <v>0.95455220616177505</v>
      </c>
      <c r="BI40" s="28">
        <v>0.26483089524019082</v>
      </c>
      <c r="BJ40" s="28">
        <v>0.26537714728237688</v>
      </c>
      <c r="BK40" s="28">
        <v>0.80608357285982679</v>
      </c>
      <c r="BL40" s="27">
        <v>9.9884259259259266E-3</v>
      </c>
      <c r="BM40">
        <v>20</v>
      </c>
      <c r="BN40">
        <v>8.9</v>
      </c>
      <c r="BO40">
        <v>11.039431172199979</v>
      </c>
      <c r="BP40">
        <v>12.189883137302671</v>
      </c>
      <c r="BQ40">
        <v>13.19853592422557</v>
      </c>
      <c r="BZ40">
        <v>11</v>
      </c>
      <c r="CA40">
        <v>12</v>
      </c>
      <c r="CB40">
        <v>13</v>
      </c>
      <c r="CC40">
        <v>16</v>
      </c>
      <c r="CD40">
        <v>17</v>
      </c>
      <c r="CE40">
        <v>20</v>
      </c>
    </row>
    <row r="41" spans="2:89" x14ac:dyDescent="0.3">
      <c r="B41" s="21" t="s">
        <v>136</v>
      </c>
      <c r="C41" s="21" t="s">
        <v>93</v>
      </c>
      <c r="D41" s="21">
        <v>42</v>
      </c>
      <c r="E41" s="21">
        <v>1.78</v>
      </c>
      <c r="F41" s="21">
        <v>79</v>
      </c>
      <c r="G41" s="21">
        <v>3</v>
      </c>
      <c r="H41" s="21">
        <v>35</v>
      </c>
      <c r="I41" s="21" t="s">
        <v>94</v>
      </c>
      <c r="J41" s="5">
        <v>2.881944444444445E-2</v>
      </c>
      <c r="K41" s="21">
        <v>14.114516126779501</v>
      </c>
      <c r="L41" s="21">
        <v>42.199160598902949</v>
      </c>
      <c r="M41" s="21">
        <v>1.1399999999999999</v>
      </c>
      <c r="N41" s="21">
        <v>187</v>
      </c>
      <c r="O41" s="21">
        <v>20</v>
      </c>
      <c r="P41" s="21">
        <v>16</v>
      </c>
      <c r="Q41" s="21">
        <v>17</v>
      </c>
      <c r="R41" s="21">
        <v>21.038220986796041</v>
      </c>
      <c r="S41" s="21">
        <v>40.093815149409309</v>
      </c>
      <c r="T41" s="21">
        <v>727.12091730368309</v>
      </c>
      <c r="U41">
        <v>11.465217391304339</v>
      </c>
      <c r="V41">
        <v>12.381600000000001</v>
      </c>
      <c r="W41">
        <v>12.771935483870971</v>
      </c>
      <c r="X41">
        <v>13.98878787878788</v>
      </c>
      <c r="Y41">
        <v>16.075714285714291</v>
      </c>
      <c r="AF41">
        <v>2314.693004973913</v>
      </c>
      <c r="AG41">
        <v>2487.3305921800002</v>
      </c>
      <c r="AH41">
        <v>2559.1778543806449</v>
      </c>
      <c r="AI41">
        <v>2792.9151809212121</v>
      </c>
      <c r="AJ41">
        <v>3194.908045565714</v>
      </c>
      <c r="AQ41">
        <v>126.42307692307691</v>
      </c>
      <c r="AR41">
        <v>137.2592592592593</v>
      </c>
      <c r="AS41">
        <v>148.9411764705882</v>
      </c>
      <c r="AT41">
        <v>160.69444444444451</v>
      </c>
      <c r="AU41">
        <v>169.88888888888891</v>
      </c>
      <c r="BB41">
        <v>0.18131328350425091</v>
      </c>
      <c r="BC41">
        <v>0.42535327531118178</v>
      </c>
      <c r="BD41">
        <v>0.42773090795168989</v>
      </c>
      <c r="BE41">
        <v>0.40692051190441902</v>
      </c>
      <c r="BF41">
        <v>0.40165880700393691</v>
      </c>
      <c r="BG41" s="28">
        <v>0.93735280632972717</v>
      </c>
      <c r="BH41" s="28">
        <v>0.9396916925907135</v>
      </c>
      <c r="BI41" s="28">
        <v>0.27638024082690438</v>
      </c>
      <c r="BJ41" s="28">
        <v>0.27834759995494768</v>
      </c>
      <c r="BK41" s="28">
        <v>0.84147775053977969</v>
      </c>
      <c r="BL41" s="27">
        <v>1.4907407407407409E-2</v>
      </c>
      <c r="BM41">
        <v>20</v>
      </c>
      <c r="BN41">
        <v>9.1999999999999993</v>
      </c>
      <c r="BO41">
        <v>11.567989955971189</v>
      </c>
      <c r="BP41">
        <v>12.457191626316449</v>
      </c>
      <c r="BQ41">
        <v>12.83721319529473</v>
      </c>
      <c r="BR41">
        <v>14.04468069100858</v>
      </c>
      <c r="BS41">
        <v>16.096478292944361</v>
      </c>
      <c r="BZ41">
        <v>10</v>
      </c>
      <c r="CA41">
        <v>11</v>
      </c>
      <c r="CB41">
        <v>13</v>
      </c>
      <c r="CC41">
        <v>14</v>
      </c>
      <c r="CD41">
        <v>15</v>
      </c>
      <c r="CE41">
        <v>17</v>
      </c>
      <c r="CF41">
        <v>19</v>
      </c>
      <c r="CG41">
        <v>20</v>
      </c>
    </row>
    <row r="42" spans="2:89" x14ac:dyDescent="0.3">
      <c r="B42" s="21" t="s">
        <v>137</v>
      </c>
      <c r="C42" s="21" t="s">
        <v>98</v>
      </c>
      <c r="D42" s="21">
        <v>43</v>
      </c>
      <c r="E42" s="21">
        <v>1.7</v>
      </c>
      <c r="F42" s="21">
        <v>62</v>
      </c>
      <c r="G42" s="21">
        <v>4</v>
      </c>
      <c r="H42" s="21">
        <v>45</v>
      </c>
      <c r="I42" s="21" t="s">
        <v>94</v>
      </c>
      <c r="J42" s="5">
        <v>3.4722222222222217E-2</v>
      </c>
      <c r="K42" s="21">
        <v>11.88254882504495</v>
      </c>
      <c r="L42" s="21">
        <v>35.760203213655913</v>
      </c>
      <c r="M42" s="21">
        <v>1.07</v>
      </c>
      <c r="N42" s="21">
        <v>172</v>
      </c>
      <c r="O42" s="21">
        <v>20</v>
      </c>
      <c r="P42" s="21">
        <v>13</v>
      </c>
      <c r="Q42" s="21">
        <v>14</v>
      </c>
      <c r="R42" s="21">
        <v>22.523777019340081</v>
      </c>
      <c r="S42" s="21">
        <v>35.973833902161537</v>
      </c>
      <c r="T42" s="21">
        <v>720</v>
      </c>
      <c r="U42">
        <v>9.1960606060606089</v>
      </c>
      <c r="V42">
        <v>10.07085714285714</v>
      </c>
      <c r="AF42">
        <v>1848.107537909091</v>
      </c>
      <c r="AG42">
        <v>2031.139584271428</v>
      </c>
      <c r="AQ42">
        <v>141.25</v>
      </c>
      <c r="AR42">
        <v>152.43243243243239</v>
      </c>
      <c r="BB42">
        <v>0.17304221753320939</v>
      </c>
      <c r="BC42">
        <v>0.43662198536568331</v>
      </c>
      <c r="BD42">
        <v>0.44049651112132232</v>
      </c>
      <c r="BE42">
        <v>0.40739104738952392</v>
      </c>
      <c r="BF42">
        <v>0.41051123999546829</v>
      </c>
      <c r="BG42" s="28">
        <v>0.93278144975360344</v>
      </c>
      <c r="BH42" s="28">
        <v>0.93831146642458529</v>
      </c>
      <c r="BI42" s="28">
        <v>0.2678040393300587</v>
      </c>
      <c r="BJ42" s="28">
        <v>0.26694910588803061</v>
      </c>
      <c r="BK42" s="28">
        <v>0.76445354191090553</v>
      </c>
      <c r="BM42">
        <v>17</v>
      </c>
      <c r="BO42">
        <v>9.2454228583366245</v>
      </c>
      <c r="BP42">
        <v>10.164728288457519</v>
      </c>
      <c r="BZ42">
        <v>9</v>
      </c>
      <c r="CA42">
        <v>12</v>
      </c>
      <c r="CB42">
        <v>14</v>
      </c>
      <c r="CC42">
        <v>18</v>
      </c>
      <c r="CD42">
        <v>20</v>
      </c>
    </row>
    <row r="43" spans="2:89" x14ac:dyDescent="0.3">
      <c r="B43" s="21" t="s">
        <v>138</v>
      </c>
      <c r="C43" s="21" t="s">
        <v>93</v>
      </c>
      <c r="D43" s="21">
        <v>43</v>
      </c>
      <c r="E43" s="21">
        <v>1.74</v>
      </c>
      <c r="F43" s="21">
        <v>84.7</v>
      </c>
      <c r="G43" s="21">
        <v>3</v>
      </c>
      <c r="H43" s="21">
        <v>25</v>
      </c>
      <c r="I43" s="21" t="s">
        <v>94</v>
      </c>
      <c r="J43" s="5">
        <v>2.8009259259259262E-2</v>
      </c>
      <c r="K43" s="21">
        <v>13.8951930377953</v>
      </c>
      <c r="L43" s="21">
        <v>39.230850213301864</v>
      </c>
      <c r="M43" s="21">
        <v>1.05</v>
      </c>
      <c r="N43" s="21">
        <v>193</v>
      </c>
      <c r="O43" s="21">
        <v>19</v>
      </c>
      <c r="P43" s="21">
        <v>16</v>
      </c>
      <c r="Q43" s="21">
        <v>17</v>
      </c>
      <c r="R43" s="21">
        <v>18.462574850299351</v>
      </c>
      <c r="S43" s="21">
        <v>35.235778443113773</v>
      </c>
      <c r="T43" s="21">
        <v>720.02544910179643</v>
      </c>
      <c r="U43">
        <v>11.39115384615384</v>
      </c>
      <c r="V43">
        <v>12.266666666666669</v>
      </c>
      <c r="W43">
        <v>13.467333333333331</v>
      </c>
      <c r="X43">
        <v>14.54545454545454</v>
      </c>
      <c r="AF43">
        <v>2314.5221932999998</v>
      </c>
      <c r="AG43">
        <v>2469.6681166100002</v>
      </c>
      <c r="AH43">
        <v>2705.3241756933339</v>
      </c>
      <c r="AI43">
        <v>2904.636537166667</v>
      </c>
      <c r="AQ43">
        <v>135.5185185185185</v>
      </c>
      <c r="AR43">
        <v>147.32258064516131</v>
      </c>
      <c r="AS43">
        <v>158.06060606060609</v>
      </c>
      <c r="AT43">
        <v>166.1142857142857</v>
      </c>
      <c r="BB43">
        <v>0.18628328853757559</v>
      </c>
      <c r="BC43">
        <v>0.42927921317416012</v>
      </c>
      <c r="BD43">
        <v>0.42908106328069129</v>
      </c>
      <c r="BE43">
        <v>0.39429366936348531</v>
      </c>
      <c r="BF43">
        <v>0.3923528522899386</v>
      </c>
      <c r="BG43" s="28">
        <v>0.91349094475016879</v>
      </c>
      <c r="BH43" s="28">
        <v>0.91515164936290072</v>
      </c>
      <c r="BI43" s="28">
        <v>0.26677723245811652</v>
      </c>
      <c r="BJ43" s="28">
        <v>0.26146802087151222</v>
      </c>
      <c r="BK43" s="28">
        <v>0.82567870294346524</v>
      </c>
      <c r="BL43" s="27">
        <v>1.2939814814814821E-2</v>
      </c>
      <c r="BM43">
        <v>19</v>
      </c>
      <c r="BN43">
        <v>10.3</v>
      </c>
      <c r="BO43">
        <v>11.555200323708361</v>
      </c>
      <c r="BP43">
        <v>12.37468041132732</v>
      </c>
      <c r="BQ43">
        <v>13.536035701175731</v>
      </c>
      <c r="BR43">
        <v>14.59626220626317</v>
      </c>
      <c r="BZ43">
        <v>10</v>
      </c>
      <c r="CA43">
        <v>11</v>
      </c>
      <c r="CB43">
        <v>12</v>
      </c>
      <c r="CC43">
        <v>13</v>
      </c>
      <c r="CD43">
        <v>13</v>
      </c>
      <c r="CE43">
        <v>15</v>
      </c>
      <c r="CF43">
        <v>18</v>
      </c>
      <c r="CG43">
        <v>19</v>
      </c>
    </row>
    <row r="44" spans="2:89" x14ac:dyDescent="0.3">
      <c r="B44" s="21" t="s">
        <v>139</v>
      </c>
      <c r="C44" s="21" t="s">
        <v>93</v>
      </c>
      <c r="D44" s="21">
        <v>19</v>
      </c>
      <c r="E44" s="21">
        <v>1.8380000000000001</v>
      </c>
      <c r="F44" s="21">
        <v>65.8</v>
      </c>
      <c r="G44" s="21">
        <v>6</v>
      </c>
      <c r="H44" s="21">
        <v>65</v>
      </c>
      <c r="I44" s="21" t="s">
        <v>94</v>
      </c>
      <c r="J44" s="5">
        <v>2.7083333333333331E-2</v>
      </c>
      <c r="K44" s="21">
        <v>15.4213805122316</v>
      </c>
      <c r="L44" s="21">
        <v>69.233473306788255</v>
      </c>
      <c r="O44" s="21">
        <v>20</v>
      </c>
      <c r="P44" s="21">
        <v>18</v>
      </c>
      <c r="Q44" s="21">
        <v>19</v>
      </c>
      <c r="R44" s="21">
        <v>23.290760563380189</v>
      </c>
      <c r="S44" s="21">
        <v>48.996619718309859</v>
      </c>
      <c r="T44" s="21">
        <v>752</v>
      </c>
      <c r="U44">
        <v>11.78181818181818</v>
      </c>
      <c r="V44">
        <v>13.20961538461539</v>
      </c>
      <c r="W44">
        <v>13.757037037037041</v>
      </c>
      <c r="X44">
        <v>14.893928571428569</v>
      </c>
      <c r="Y44">
        <v>16.091000000000001</v>
      </c>
      <c r="Z44">
        <v>17.82225806451612</v>
      </c>
      <c r="AF44">
        <v>2503.0891504181818</v>
      </c>
      <c r="AG44">
        <v>2796.9829591884618</v>
      </c>
      <c r="AH44">
        <v>2896.5424369814809</v>
      </c>
      <c r="AI44">
        <v>3131.3477533785708</v>
      </c>
      <c r="AJ44">
        <v>3377.7951973600002</v>
      </c>
      <c r="AK44">
        <v>3713.207863341936</v>
      </c>
      <c r="BB44">
        <v>0.16343193232408321</v>
      </c>
      <c r="BC44">
        <v>0.45436354391973222</v>
      </c>
      <c r="BD44">
        <v>0.46237713727361329</v>
      </c>
      <c r="BE44">
        <v>0.4181937615720287</v>
      </c>
      <c r="BF44">
        <v>0.40785570854436948</v>
      </c>
      <c r="BG44" s="28">
        <v>0.9764195186495781</v>
      </c>
      <c r="BH44" s="28">
        <v>0.97252921411395077</v>
      </c>
      <c r="BI44" s="28">
        <v>0.27503899989975161</v>
      </c>
      <c r="BJ44" s="28">
        <v>0.27634343919217058</v>
      </c>
      <c r="BK44" s="28">
        <v>0.86352563361823564</v>
      </c>
      <c r="BM44">
        <v>19</v>
      </c>
      <c r="BN44">
        <v>6.4</v>
      </c>
      <c r="BO44">
        <v>12.14257078324462</v>
      </c>
      <c r="BP44">
        <v>13.61135792306054</v>
      </c>
      <c r="BQ44">
        <v>14.257300789416179</v>
      </c>
      <c r="BR44">
        <v>15.277814063681671</v>
      </c>
      <c r="BS44">
        <v>16.59260267531749</v>
      </c>
      <c r="BT44">
        <v>18.26993163722431</v>
      </c>
      <c r="BZ44">
        <v>9</v>
      </c>
      <c r="CA44">
        <v>9</v>
      </c>
      <c r="CB44">
        <v>11</v>
      </c>
      <c r="CC44">
        <v>12</v>
      </c>
      <c r="CD44">
        <v>13</v>
      </c>
      <c r="CE44">
        <v>14</v>
      </c>
      <c r="CF44">
        <v>15</v>
      </c>
      <c r="CG44">
        <v>16</v>
      </c>
      <c r="CH44">
        <v>18</v>
      </c>
      <c r="CI44">
        <v>20</v>
      </c>
    </row>
    <row r="45" spans="2:89" x14ac:dyDescent="0.3">
      <c r="B45" s="21" t="s">
        <v>140</v>
      </c>
      <c r="C45" s="21" t="s">
        <v>98</v>
      </c>
      <c r="D45" s="21">
        <v>31</v>
      </c>
      <c r="E45" s="21">
        <v>1.722</v>
      </c>
      <c r="F45" s="21">
        <v>57.7</v>
      </c>
      <c r="G45" s="21">
        <v>5</v>
      </c>
      <c r="H45" s="21">
        <v>50</v>
      </c>
      <c r="I45" s="21" t="s">
        <v>94</v>
      </c>
      <c r="J45" s="5">
        <v>2.777777777777778E-2</v>
      </c>
      <c r="K45" s="21">
        <v>14.10750253310445</v>
      </c>
      <c r="L45" s="21">
        <v>55.958510213980347</v>
      </c>
      <c r="N45" s="21">
        <v>182</v>
      </c>
      <c r="O45" s="21">
        <v>20</v>
      </c>
      <c r="P45" s="21">
        <v>16</v>
      </c>
      <c r="Q45" s="21">
        <v>17</v>
      </c>
      <c r="R45" s="21">
        <v>23.31815999999997</v>
      </c>
      <c r="S45" s="21">
        <v>61.163200000000003</v>
      </c>
      <c r="T45" s="21">
        <v>744</v>
      </c>
      <c r="U45">
        <v>9.7770370370370383</v>
      </c>
      <c r="V45">
        <v>10.73666666666667</v>
      </c>
      <c r="X45">
        <v>13.33785714285715</v>
      </c>
      <c r="Y45">
        <v>14.76647058823529</v>
      </c>
      <c r="AF45">
        <v>2008.388482922222</v>
      </c>
      <c r="AG45">
        <v>2197.746215940741</v>
      </c>
      <c r="AI45">
        <v>2716.0608509321428</v>
      </c>
      <c r="AJ45">
        <v>2990.16436472647</v>
      </c>
      <c r="AQ45">
        <v>120.8275862068966</v>
      </c>
      <c r="AR45">
        <v>132.9</v>
      </c>
      <c r="AT45">
        <v>158.09677419354841</v>
      </c>
      <c r="AU45">
        <v>166.94594594594591</v>
      </c>
      <c r="BB45">
        <v>0.16065629608908061</v>
      </c>
      <c r="BC45">
        <v>0.44660628987655437</v>
      </c>
      <c r="BD45">
        <v>0.44837240029207942</v>
      </c>
      <c r="BE45">
        <v>0.40863159646064412</v>
      </c>
      <c r="BF45">
        <v>0.40162960755096577</v>
      </c>
      <c r="BG45" s="28">
        <v>0.9482481401860714</v>
      </c>
      <c r="BH45" s="28">
        <v>0.94832104861736299</v>
      </c>
      <c r="BI45" s="28">
        <v>0.26463678484002628</v>
      </c>
      <c r="BJ45" s="28">
        <v>0.26330570661446068</v>
      </c>
      <c r="BK45" s="28">
        <v>0.77371540559828278</v>
      </c>
      <c r="BL45" s="27">
        <v>1.111111111111111E-2</v>
      </c>
      <c r="BM45">
        <v>20</v>
      </c>
      <c r="BN45">
        <v>8.5</v>
      </c>
      <c r="BO45">
        <v>9.9635751872002754</v>
      </c>
      <c r="BP45">
        <v>10.94698436335876</v>
      </c>
      <c r="BR45">
        <v>13.5450468457044</v>
      </c>
      <c r="BS45">
        <v>14.924406653444301</v>
      </c>
      <c r="BZ45">
        <v>8</v>
      </c>
      <c r="CA45">
        <v>10</v>
      </c>
      <c r="CB45">
        <v>12</v>
      </c>
      <c r="CC45">
        <v>13</v>
      </c>
      <c r="CD45">
        <v>14</v>
      </c>
      <c r="CE45">
        <v>16</v>
      </c>
      <c r="CF45">
        <v>19</v>
      </c>
      <c r="CG45">
        <v>20</v>
      </c>
    </row>
    <row r="46" spans="2:89" x14ac:dyDescent="0.3">
      <c r="B46" s="21" t="s">
        <v>141</v>
      </c>
      <c r="C46" s="21" t="s">
        <v>93</v>
      </c>
      <c r="D46" s="21">
        <v>29</v>
      </c>
      <c r="E46" s="21">
        <v>1.845</v>
      </c>
      <c r="F46" s="21">
        <v>70.599999999999994</v>
      </c>
      <c r="G46" s="21">
        <v>5</v>
      </c>
      <c r="H46" s="21">
        <v>50</v>
      </c>
      <c r="I46" s="21" t="s">
        <v>142</v>
      </c>
      <c r="J46" s="5">
        <v>2.5000000000000001E-2</v>
      </c>
      <c r="K46" s="21">
        <v>15.21584069792334</v>
      </c>
      <c r="L46" s="21">
        <v>63.082616559867787</v>
      </c>
      <c r="N46" s="21">
        <v>186</v>
      </c>
      <c r="O46" s="21">
        <v>20</v>
      </c>
      <c r="P46" s="21">
        <v>18</v>
      </c>
      <c r="Q46" s="21">
        <v>18</v>
      </c>
      <c r="R46" s="21">
        <v>22.293265822784608</v>
      </c>
      <c r="S46" s="21">
        <v>61.824810126582278</v>
      </c>
      <c r="T46" s="21">
        <v>743</v>
      </c>
      <c r="U46">
        <v>13.190833333333339</v>
      </c>
      <c r="V46">
        <v>13.351874999999991</v>
      </c>
      <c r="W46">
        <v>14.631578947368419</v>
      </c>
      <c r="X46">
        <v>16.97324324324325</v>
      </c>
      <c r="Y46">
        <v>17.057631578947369</v>
      </c>
      <c r="Z46">
        <v>18.532926829268291</v>
      </c>
      <c r="AF46">
        <v>2727.315844647223</v>
      </c>
      <c r="AG46">
        <v>2740.7784230187508</v>
      </c>
      <c r="AH46">
        <v>3001.5151713657888</v>
      </c>
      <c r="AI46">
        <v>3505.5044493081091</v>
      </c>
      <c r="AJ46">
        <v>3509.3678990184221</v>
      </c>
      <c r="AK46">
        <v>3793.0905796243901</v>
      </c>
      <c r="AQ46">
        <v>130.8648648648649</v>
      </c>
      <c r="AR46">
        <v>139.75757575757581</v>
      </c>
      <c r="AS46">
        <v>149.92307692307691</v>
      </c>
      <c r="AT46">
        <v>157.84210526315789</v>
      </c>
      <c r="AU46">
        <v>164.875</v>
      </c>
      <c r="AV46">
        <v>169.7906976744186</v>
      </c>
      <c r="BB46">
        <v>0.16712771736690721</v>
      </c>
      <c r="BC46">
        <v>0.45866755783118057</v>
      </c>
      <c r="BD46">
        <v>0.46974680756137271</v>
      </c>
      <c r="BE46">
        <v>0.45559680445186218</v>
      </c>
      <c r="BF46">
        <v>0.44221459006533159</v>
      </c>
      <c r="BG46" s="28">
        <v>1.012089467942715</v>
      </c>
      <c r="BH46" s="28">
        <v>1.010286969721317</v>
      </c>
      <c r="BI46" s="28">
        <v>0.28555143564004543</v>
      </c>
      <c r="BJ46" s="28">
        <v>0.28159993211030798</v>
      </c>
      <c r="BK46" s="28">
        <v>0.83381178116798416</v>
      </c>
      <c r="BL46" s="27">
        <v>1.2442129629629629E-2</v>
      </c>
      <c r="BM46">
        <v>19</v>
      </c>
      <c r="BN46">
        <v>6.3</v>
      </c>
      <c r="BO46">
        <v>13.445755542441161</v>
      </c>
      <c r="BP46">
        <v>13.641615001085979</v>
      </c>
      <c r="BQ46">
        <v>14.850181993864609</v>
      </c>
      <c r="BR46">
        <v>17.26649473557158</v>
      </c>
      <c r="BS46">
        <v>17.380216376453351</v>
      </c>
      <c r="BT46">
        <v>18.80838215199422</v>
      </c>
      <c r="BZ46">
        <v>9</v>
      </c>
      <c r="CA46">
        <v>10</v>
      </c>
      <c r="CB46">
        <v>11</v>
      </c>
      <c r="CC46">
        <v>13</v>
      </c>
      <c r="CD46">
        <v>14</v>
      </c>
      <c r="CE46">
        <v>15</v>
      </c>
      <c r="CF46">
        <v>16</v>
      </c>
      <c r="CG46">
        <v>18</v>
      </c>
      <c r="CH46">
        <v>20</v>
      </c>
    </row>
    <row r="47" spans="2:89" x14ac:dyDescent="0.3">
      <c r="B47" s="21" t="s">
        <v>143</v>
      </c>
      <c r="C47" s="21" t="s">
        <v>93</v>
      </c>
      <c r="D47" s="21">
        <v>20</v>
      </c>
      <c r="E47" s="21">
        <v>1.8180000000000001</v>
      </c>
      <c r="F47" s="21">
        <v>77</v>
      </c>
      <c r="G47" s="21">
        <v>3</v>
      </c>
      <c r="H47" s="21">
        <v>15</v>
      </c>
      <c r="I47" s="21" t="s">
        <v>94</v>
      </c>
      <c r="J47" s="5">
        <v>3.3333333333333333E-2</v>
      </c>
      <c r="K47" s="21">
        <v>13.601512124572009</v>
      </c>
      <c r="L47" s="21">
        <v>49.8789151525541</v>
      </c>
      <c r="N47" s="21">
        <v>207</v>
      </c>
      <c r="O47" s="21">
        <v>20</v>
      </c>
      <c r="P47" s="21">
        <v>16</v>
      </c>
      <c r="Q47" s="21">
        <v>17</v>
      </c>
      <c r="R47" s="21">
        <v>21.886897767333021</v>
      </c>
      <c r="S47" s="21">
        <v>51.32021151586369</v>
      </c>
      <c r="T47" s="21">
        <v>749</v>
      </c>
      <c r="U47">
        <v>13.0446875</v>
      </c>
      <c r="V47">
        <v>13.929166666666671</v>
      </c>
      <c r="W47">
        <v>15.15658536585366</v>
      </c>
      <c r="X47">
        <v>16.223488372093019</v>
      </c>
      <c r="AF47">
        <v>2665.2523560531249</v>
      </c>
      <c r="AG47">
        <v>2853.001580175001</v>
      </c>
      <c r="AH47">
        <v>3099.9016751000008</v>
      </c>
      <c r="AI47">
        <v>3283.6638206186039</v>
      </c>
      <c r="AQ47">
        <v>148.7352941176471</v>
      </c>
      <c r="AR47">
        <v>168.4</v>
      </c>
      <c r="AS47">
        <v>178.32558139534879</v>
      </c>
      <c r="AT47">
        <v>188</v>
      </c>
      <c r="BB47">
        <v>0.17363575914679691</v>
      </c>
      <c r="BC47">
        <v>0.44361880106025348</v>
      </c>
      <c r="BD47">
        <v>0.44473450125822211</v>
      </c>
      <c r="BE47">
        <v>0.42572516988347192</v>
      </c>
      <c r="BF47">
        <v>0.43654934169175319</v>
      </c>
      <c r="BG47" s="28">
        <v>0.99373989319801326</v>
      </c>
      <c r="BH47" s="28">
        <v>0.99954097685217858</v>
      </c>
      <c r="BI47" s="28">
        <v>0.29292396963076178</v>
      </c>
      <c r="BJ47" s="28">
        <v>0.2953329940573865</v>
      </c>
      <c r="BK47" s="28">
        <v>0.82135956497490414</v>
      </c>
      <c r="BO47">
        <v>13.24170086850337</v>
      </c>
      <c r="BP47">
        <v>14.1644573786277</v>
      </c>
      <c r="BQ47">
        <v>15.370605071248489</v>
      </c>
      <c r="BR47">
        <v>16.389621203837059</v>
      </c>
      <c r="BZ47">
        <v>9</v>
      </c>
      <c r="CA47">
        <v>11</v>
      </c>
      <c r="CB47">
        <v>12</v>
      </c>
      <c r="CC47">
        <v>13</v>
      </c>
      <c r="CD47">
        <v>15</v>
      </c>
      <c r="CE47">
        <v>17</v>
      </c>
      <c r="CF47">
        <v>19</v>
      </c>
      <c r="CG47">
        <v>20</v>
      </c>
    </row>
    <row r="48" spans="2:89" x14ac:dyDescent="0.3">
      <c r="B48" s="21" t="s">
        <v>144</v>
      </c>
      <c r="C48" s="21" t="s">
        <v>98</v>
      </c>
      <c r="D48" s="21">
        <v>24</v>
      </c>
      <c r="E48" s="21">
        <v>1.6339999999999999</v>
      </c>
      <c r="F48" s="21">
        <v>52.3</v>
      </c>
      <c r="G48" s="21">
        <v>6</v>
      </c>
      <c r="H48" s="21">
        <v>100</v>
      </c>
      <c r="I48" s="21" t="s">
        <v>94</v>
      </c>
      <c r="J48" s="5">
        <v>2.631944444444444E-2</v>
      </c>
      <c r="K48" s="21">
        <v>14.63064313717789</v>
      </c>
      <c r="L48" s="21">
        <v>55.689267045379218</v>
      </c>
      <c r="N48" s="21">
        <v>188</v>
      </c>
      <c r="O48" s="21">
        <v>13</v>
      </c>
      <c r="P48" s="21">
        <v>17</v>
      </c>
      <c r="Q48" s="21">
        <v>17</v>
      </c>
      <c r="R48" s="21">
        <v>23.318526663001411</v>
      </c>
      <c r="S48" s="21">
        <v>37.537658053875759</v>
      </c>
      <c r="T48" s="21">
        <v>734</v>
      </c>
      <c r="U48">
        <v>10.234705882352941</v>
      </c>
      <c r="V48">
        <v>10.872162162162169</v>
      </c>
      <c r="W48">
        <v>11.23657142857143</v>
      </c>
      <c r="X48">
        <v>11.55787234042554</v>
      </c>
      <c r="Y48">
        <v>12.58195652173913</v>
      </c>
      <c r="AF48">
        <v>2083.9131817303032</v>
      </c>
      <c r="AG48">
        <v>2221.1891037702699</v>
      </c>
      <c r="AH48">
        <v>2298.8744253142859</v>
      </c>
      <c r="AI48">
        <v>2341.3696565255318</v>
      </c>
      <c r="AJ48">
        <v>2552.4040628652178</v>
      </c>
      <c r="AQ48">
        <v>138.83333333333329</v>
      </c>
      <c r="AR48">
        <v>146.97499999999999</v>
      </c>
      <c r="AS48">
        <v>154.34210526315789</v>
      </c>
      <c r="AT48">
        <v>161.77083333333329</v>
      </c>
      <c r="AU48">
        <v>169.78</v>
      </c>
      <c r="BB48">
        <v>0.16096076841251569</v>
      </c>
      <c r="BC48">
        <v>0.40015003076929129</v>
      </c>
      <c r="BD48">
        <v>0.40379139092761168</v>
      </c>
      <c r="BE48">
        <v>0.37155174697324977</v>
      </c>
      <c r="BF48">
        <v>0.37333453831408209</v>
      </c>
      <c r="BG48" s="28">
        <v>0.86717062334693984</v>
      </c>
      <c r="BH48" s="28">
        <v>0.87420297916699352</v>
      </c>
      <c r="BI48" s="28">
        <v>0.26598847474163728</v>
      </c>
      <c r="BJ48" s="28">
        <v>0.26703850940131102</v>
      </c>
      <c r="BK48" s="28">
        <v>0.76331319874303327</v>
      </c>
      <c r="BL48" s="27">
        <v>1.6006944444444449E-2</v>
      </c>
      <c r="BM48">
        <v>17</v>
      </c>
      <c r="BN48">
        <v>5.2</v>
      </c>
      <c r="BO48">
        <v>10.404604944738731</v>
      </c>
      <c r="BP48">
        <v>11.035605637518231</v>
      </c>
      <c r="BQ48">
        <v>11.38470183600133</v>
      </c>
      <c r="BR48">
        <v>11.681401358129911</v>
      </c>
      <c r="BS48">
        <v>12.72563430791017</v>
      </c>
      <c r="BZ48">
        <v>7</v>
      </c>
      <c r="CA48">
        <v>7</v>
      </c>
      <c r="CB48">
        <v>7</v>
      </c>
      <c r="CC48">
        <v>8</v>
      </c>
      <c r="CD48">
        <v>9</v>
      </c>
      <c r="CE48">
        <v>11</v>
      </c>
      <c r="CF48">
        <v>11</v>
      </c>
      <c r="CG48">
        <v>13</v>
      </c>
    </row>
    <row r="49" spans="2:88" x14ac:dyDescent="0.3">
      <c r="B49" s="21" t="s">
        <v>145</v>
      </c>
      <c r="C49" s="21" t="s">
        <v>93</v>
      </c>
      <c r="D49" s="21">
        <v>21</v>
      </c>
      <c r="E49" s="21">
        <v>1.8129999999999999</v>
      </c>
      <c r="F49" s="21">
        <v>69.599999999999994</v>
      </c>
      <c r="G49" s="21">
        <v>5</v>
      </c>
      <c r="H49" s="21">
        <v>40</v>
      </c>
      <c r="I49" s="21" t="s">
        <v>94</v>
      </c>
      <c r="J49" s="5">
        <v>2.6041666666666671E-2</v>
      </c>
      <c r="K49" s="21">
        <v>14.51972021487849</v>
      </c>
      <c r="L49" s="21">
        <v>62.469054592049822</v>
      </c>
      <c r="N49" s="21">
        <v>184</v>
      </c>
      <c r="O49" s="21">
        <v>20</v>
      </c>
      <c r="P49" s="21">
        <v>17</v>
      </c>
      <c r="Q49" s="21">
        <v>18</v>
      </c>
      <c r="R49" s="21">
        <v>21.728963585434599</v>
      </c>
      <c r="S49" s="21">
        <v>37.466666666666669</v>
      </c>
      <c r="T49" s="21">
        <v>736</v>
      </c>
      <c r="U49">
        <v>13.87379310344828</v>
      </c>
      <c r="V49">
        <v>15.095625</v>
      </c>
      <c r="W49">
        <v>17.089117647058831</v>
      </c>
      <c r="X49">
        <v>17.356363636363639</v>
      </c>
      <c r="Y49">
        <v>18.112894736842112</v>
      </c>
      <c r="AF49">
        <v>2836.0170510103439</v>
      </c>
      <c r="AG49">
        <v>3074.193864146876</v>
      </c>
      <c r="AH49">
        <v>3477.281482588236</v>
      </c>
      <c r="AI49">
        <v>3503.3302355062492</v>
      </c>
      <c r="AJ49">
        <v>3657.7535832868421</v>
      </c>
      <c r="AQ49">
        <v>140.35483870967741</v>
      </c>
      <c r="AR49">
        <v>149.19999999999999</v>
      </c>
      <c r="AS49">
        <v>155.55555555555549</v>
      </c>
      <c r="AT49">
        <v>158.91666666666671</v>
      </c>
      <c r="AU49">
        <v>165.61538461538461</v>
      </c>
      <c r="BB49">
        <v>0.17793765566953881</v>
      </c>
      <c r="BC49">
        <v>0.44535592930187062</v>
      </c>
      <c r="BD49">
        <v>0.44678573984085079</v>
      </c>
      <c r="BE49">
        <v>0.41077899015732461</v>
      </c>
      <c r="BF49">
        <v>0.40665159372567811</v>
      </c>
      <c r="BG49" s="28">
        <v>0.95188349781385639</v>
      </c>
      <c r="BH49" s="28">
        <v>0.95299783310188702</v>
      </c>
      <c r="BI49" s="28">
        <v>0.28400640777220909</v>
      </c>
      <c r="BJ49" s="28">
        <v>0.28855149097259231</v>
      </c>
      <c r="BK49" s="28">
        <v>0.8605593345421283</v>
      </c>
      <c r="BL49" s="27">
        <v>1.4004629629629631E-2</v>
      </c>
      <c r="BM49">
        <v>20</v>
      </c>
      <c r="BN49">
        <v>6.3</v>
      </c>
      <c r="BO49">
        <v>14.05487303338273</v>
      </c>
      <c r="BP49">
        <v>15.35276112697945</v>
      </c>
      <c r="BQ49">
        <v>17.31007709834309</v>
      </c>
      <c r="BR49">
        <v>17.479619484262571</v>
      </c>
      <c r="BS49">
        <v>18.25726536882696</v>
      </c>
      <c r="BZ49">
        <v>10</v>
      </c>
      <c r="CA49">
        <v>12</v>
      </c>
      <c r="CB49">
        <v>13</v>
      </c>
      <c r="CC49">
        <v>14</v>
      </c>
      <c r="CD49">
        <v>15</v>
      </c>
      <c r="CE49">
        <v>16</v>
      </c>
      <c r="CF49">
        <v>17</v>
      </c>
      <c r="CG49">
        <v>18</v>
      </c>
      <c r="CH49">
        <v>20</v>
      </c>
    </row>
    <row r="50" spans="2:88" x14ac:dyDescent="0.3">
      <c r="B50" s="21" t="s">
        <v>146</v>
      </c>
      <c r="C50" s="21" t="s">
        <v>98</v>
      </c>
      <c r="D50" s="21">
        <v>21</v>
      </c>
      <c r="E50" s="21">
        <v>1.6910000000000001</v>
      </c>
      <c r="F50" s="21">
        <v>57.5</v>
      </c>
      <c r="G50" s="21">
        <v>6</v>
      </c>
      <c r="H50" s="21">
        <v>40</v>
      </c>
      <c r="I50" s="21" t="s">
        <v>147</v>
      </c>
      <c r="J50" s="5">
        <v>3.125E-2</v>
      </c>
      <c r="K50" s="21">
        <v>12.56237916108255</v>
      </c>
      <c r="L50" s="21">
        <v>44.261426468260858</v>
      </c>
      <c r="N50" s="21">
        <v>187</v>
      </c>
      <c r="O50" s="21">
        <v>20</v>
      </c>
      <c r="P50" s="21">
        <v>14</v>
      </c>
      <c r="Q50" s="21">
        <v>15</v>
      </c>
      <c r="R50" s="21">
        <v>20.018173987941481</v>
      </c>
      <c r="S50" s="21">
        <v>34.286821705426362</v>
      </c>
      <c r="T50" s="21">
        <v>756.92764857881139</v>
      </c>
      <c r="U50">
        <v>9.1554166666666656</v>
      </c>
      <c r="V50">
        <v>9.9082352941176506</v>
      </c>
      <c r="W50">
        <v>10.51722222222222</v>
      </c>
      <c r="AF50">
        <v>1889.6225526291671</v>
      </c>
      <c r="AG50">
        <v>2021.268434123529</v>
      </c>
      <c r="AH50">
        <v>2116.354493151428</v>
      </c>
      <c r="AQ50">
        <v>160.44444444444451</v>
      </c>
      <c r="AR50">
        <v>168.13888888888891</v>
      </c>
      <c r="AS50">
        <v>174.57894736842101</v>
      </c>
      <c r="BB50">
        <v>0.16304180829796611</v>
      </c>
      <c r="BC50">
        <v>0.4277947628171001</v>
      </c>
      <c r="BD50">
        <v>0.43528799756141101</v>
      </c>
      <c r="BE50">
        <v>0.41226080292286083</v>
      </c>
      <c r="BF50">
        <v>0.40192466361824142</v>
      </c>
      <c r="BG50" s="28">
        <v>0.93127354825365127</v>
      </c>
      <c r="BH50" s="28">
        <v>0.93602138141105917</v>
      </c>
      <c r="BI50" s="28">
        <v>0.26132881183404938</v>
      </c>
      <c r="BJ50" s="28">
        <v>0.25973832158428539</v>
      </c>
      <c r="BK50" s="28">
        <v>0.75735253516764489</v>
      </c>
      <c r="BL50" s="27">
        <v>8.0439814814814818E-3</v>
      </c>
      <c r="BM50">
        <v>20</v>
      </c>
      <c r="BN50">
        <v>6.1</v>
      </c>
      <c r="BO50">
        <v>9.4058764288334462</v>
      </c>
      <c r="BP50">
        <v>10.03602551583313</v>
      </c>
      <c r="BQ50">
        <v>10.61899537794854</v>
      </c>
      <c r="BZ50">
        <v>7</v>
      </c>
      <c r="CA50">
        <v>8</v>
      </c>
      <c r="CB50">
        <v>10</v>
      </c>
      <c r="CC50">
        <v>13</v>
      </c>
      <c r="CD50">
        <v>16</v>
      </c>
      <c r="CE50">
        <v>20</v>
      </c>
    </row>
    <row r="51" spans="2:88" x14ac:dyDescent="0.3">
      <c r="B51" s="21" t="s">
        <v>148</v>
      </c>
      <c r="C51" s="21" t="s">
        <v>98</v>
      </c>
      <c r="D51" s="21">
        <v>26</v>
      </c>
      <c r="E51" s="21">
        <v>1.637</v>
      </c>
      <c r="F51" s="21">
        <v>55.1</v>
      </c>
      <c r="G51" s="21">
        <v>4</v>
      </c>
      <c r="H51" s="21">
        <v>40</v>
      </c>
      <c r="I51" s="21" t="s">
        <v>94</v>
      </c>
      <c r="J51" s="5">
        <v>2.9166666666666671E-2</v>
      </c>
      <c r="K51" s="21">
        <v>13.745178513741109</v>
      </c>
      <c r="L51" s="21">
        <v>56.927983820205696</v>
      </c>
      <c r="N51" s="21">
        <v>189</v>
      </c>
      <c r="O51" s="21">
        <v>19</v>
      </c>
      <c r="P51" s="21">
        <v>16</v>
      </c>
      <c r="Q51" s="21">
        <v>16</v>
      </c>
      <c r="R51" s="21">
        <v>21.19417009602196</v>
      </c>
      <c r="S51" s="21">
        <v>34.896433470507553</v>
      </c>
      <c r="T51" s="21">
        <v>757</v>
      </c>
      <c r="U51">
        <v>10.82730769230769</v>
      </c>
      <c r="V51">
        <v>11.84548387096774</v>
      </c>
      <c r="W51">
        <v>12.702058823529409</v>
      </c>
      <c r="X51">
        <v>13.059459459459459</v>
      </c>
      <c r="AF51">
        <v>2222.719032753846</v>
      </c>
      <c r="AG51">
        <v>2398.5377313133331</v>
      </c>
      <c r="AH51">
        <v>2588.9793010352951</v>
      </c>
      <c r="AI51">
        <v>2629.267436291891</v>
      </c>
      <c r="AQ51">
        <v>146.10714285714289</v>
      </c>
      <c r="AR51">
        <v>158.34375</v>
      </c>
      <c r="AS51">
        <v>165.05714285714279</v>
      </c>
      <c r="AT51">
        <v>172.8918918918919</v>
      </c>
      <c r="BB51">
        <v>0.16730558349932101</v>
      </c>
      <c r="BC51">
        <v>0.41244618902469887</v>
      </c>
      <c r="BD51">
        <v>0.406317442367782</v>
      </c>
      <c r="BE51">
        <v>0.37687875646982311</v>
      </c>
      <c r="BF51">
        <v>0.3799135101274988</v>
      </c>
      <c r="BG51" s="28">
        <v>0.88451984247565274</v>
      </c>
      <c r="BH51" s="28">
        <v>0.88456531822681428</v>
      </c>
      <c r="BI51" s="28">
        <v>0.25832165709498611</v>
      </c>
      <c r="BJ51" s="28">
        <v>0.25826580620099532</v>
      </c>
      <c r="BK51" s="28">
        <v>0.75245741964876656</v>
      </c>
      <c r="BL51" s="27">
        <v>1.4375000000000001E-2</v>
      </c>
      <c r="BM51">
        <v>20</v>
      </c>
      <c r="BN51">
        <v>8.8000000000000007</v>
      </c>
      <c r="BO51">
        <v>11.11975840239689</v>
      </c>
      <c r="BP51">
        <v>11.935627090998469</v>
      </c>
      <c r="BQ51">
        <v>12.89611748287521</v>
      </c>
      <c r="BR51">
        <v>13.1639015892204</v>
      </c>
      <c r="BZ51">
        <v>9</v>
      </c>
      <c r="CA51">
        <v>11</v>
      </c>
      <c r="CB51">
        <v>12</v>
      </c>
      <c r="CC51">
        <v>13</v>
      </c>
      <c r="CD51">
        <v>15</v>
      </c>
      <c r="CE51">
        <v>17</v>
      </c>
      <c r="CF51">
        <v>19</v>
      </c>
    </row>
    <row r="52" spans="2:88" x14ac:dyDescent="0.3">
      <c r="B52" s="21" t="s">
        <v>149</v>
      </c>
      <c r="C52" s="21" t="s">
        <v>93</v>
      </c>
      <c r="D52" s="21">
        <v>36</v>
      </c>
      <c r="E52" s="21">
        <v>1.7589999999999999</v>
      </c>
      <c r="F52" s="21">
        <v>66.5</v>
      </c>
      <c r="G52" s="21">
        <v>4</v>
      </c>
      <c r="H52" s="21">
        <v>45</v>
      </c>
      <c r="I52" s="21" t="s">
        <v>150</v>
      </c>
      <c r="J52" s="5">
        <v>2.7546296296296301E-2</v>
      </c>
      <c r="K52" s="21">
        <v>14.352752847678319</v>
      </c>
      <c r="L52" s="21">
        <v>58.284965700250623</v>
      </c>
      <c r="N52" s="21">
        <v>182</v>
      </c>
      <c r="O52" s="21">
        <v>20</v>
      </c>
      <c r="P52" s="21">
        <v>17</v>
      </c>
      <c r="Q52" s="21">
        <v>17</v>
      </c>
      <c r="R52" s="21">
        <v>19.667935483870981</v>
      </c>
      <c r="S52" s="21">
        <v>39.116774193548387</v>
      </c>
      <c r="T52" s="21">
        <v>757</v>
      </c>
      <c r="U52">
        <v>12.88606060606061</v>
      </c>
      <c r="V52">
        <v>14.01242424242424</v>
      </c>
      <c r="W52">
        <v>14.826111111111111</v>
      </c>
      <c r="X52">
        <v>16.098611111111111</v>
      </c>
      <c r="Y52">
        <v>17.086486486486489</v>
      </c>
      <c r="AF52">
        <v>2587.1858569484839</v>
      </c>
      <c r="AG52">
        <v>2816.3291722121212</v>
      </c>
      <c r="AH52">
        <v>2970.4498551083338</v>
      </c>
      <c r="AI52">
        <v>3222.6998813416672</v>
      </c>
      <c r="AJ52">
        <v>3395.800566816667</v>
      </c>
      <c r="AQ52">
        <v>126.94285714285709</v>
      </c>
      <c r="AR52">
        <v>139.85714285714289</v>
      </c>
      <c r="AS52">
        <v>152.83783783783781</v>
      </c>
      <c r="AT52">
        <v>161.1081081081081</v>
      </c>
      <c r="AU52">
        <v>168.61538461538461</v>
      </c>
      <c r="BB52">
        <v>0.1712811486863231</v>
      </c>
      <c r="BC52">
        <v>0.44797665473231391</v>
      </c>
      <c r="BD52">
        <v>0.4421312619034678</v>
      </c>
      <c r="BE52">
        <v>0.41281194276943001</v>
      </c>
      <c r="BF52">
        <v>0.4171453677892738</v>
      </c>
      <c r="BG52" s="28">
        <v>0.95410687080025669</v>
      </c>
      <c r="BH52" s="28">
        <v>0.94964227092266085</v>
      </c>
      <c r="BI52" s="28">
        <v>0.29013011022171109</v>
      </c>
      <c r="BJ52" s="28">
        <v>0.28815236484871132</v>
      </c>
      <c r="BK52" s="28">
        <v>0.80712542913854113</v>
      </c>
      <c r="BL52" s="27">
        <v>1.1296296296296301E-2</v>
      </c>
      <c r="BM52">
        <v>20</v>
      </c>
      <c r="BN52">
        <v>11.1</v>
      </c>
      <c r="BO52">
        <v>12.88899258811602</v>
      </c>
      <c r="BP52">
        <v>14.124922274640751</v>
      </c>
      <c r="BQ52">
        <v>14.930141497458919</v>
      </c>
      <c r="BR52">
        <v>16.10915336387319</v>
      </c>
      <c r="BS52">
        <v>17.101442775102331</v>
      </c>
      <c r="BZ52">
        <v>8</v>
      </c>
      <c r="CA52">
        <v>11</v>
      </c>
      <c r="CB52">
        <v>12</v>
      </c>
      <c r="CC52">
        <v>13</v>
      </c>
      <c r="CD52">
        <v>14</v>
      </c>
      <c r="CE52">
        <v>15</v>
      </c>
      <c r="CF52">
        <v>17</v>
      </c>
      <c r="CG52">
        <v>20</v>
      </c>
    </row>
    <row r="53" spans="2:88" x14ac:dyDescent="0.3">
      <c r="B53" s="21" t="s">
        <v>151</v>
      </c>
      <c r="C53" s="21" t="s">
        <v>98</v>
      </c>
      <c r="D53" s="21">
        <v>35</v>
      </c>
      <c r="E53" s="21">
        <v>1.7509999999999999</v>
      </c>
      <c r="F53" s="21">
        <v>68.7</v>
      </c>
      <c r="G53" s="21">
        <v>4</v>
      </c>
      <c r="H53" s="21">
        <v>35</v>
      </c>
      <c r="I53" s="21" t="s">
        <v>94</v>
      </c>
      <c r="J53" s="5">
        <v>3.3333333333333333E-2</v>
      </c>
      <c r="K53" s="21">
        <v>12.458899659610021</v>
      </c>
      <c r="L53" s="21">
        <v>46.846506278311502</v>
      </c>
      <c r="N53" s="21">
        <v>180</v>
      </c>
      <c r="O53" s="21">
        <v>20</v>
      </c>
      <c r="P53" s="21">
        <v>14</v>
      </c>
      <c r="Q53" s="21">
        <v>15</v>
      </c>
      <c r="R53" s="21">
        <v>21.69207188160679</v>
      </c>
      <c r="S53" s="21">
        <v>35.105708245243129</v>
      </c>
      <c r="T53" s="21">
        <v>753</v>
      </c>
      <c r="U53">
        <v>11.38925925925926</v>
      </c>
      <c r="V53">
        <v>12.908888888888891</v>
      </c>
      <c r="W53">
        <v>14.02870967741935</v>
      </c>
      <c r="AF53">
        <v>2341.661201440741</v>
      </c>
      <c r="AG53">
        <v>2612.1796122000001</v>
      </c>
      <c r="AH53">
        <v>2830.8650673032262</v>
      </c>
      <c r="AQ53">
        <v>146.31034482758619</v>
      </c>
      <c r="AR53">
        <v>156.82142857142861</v>
      </c>
      <c r="AS53">
        <v>163.75</v>
      </c>
      <c r="BB53">
        <v>0.18275314986629279</v>
      </c>
      <c r="BC53">
        <v>0.42300595680932312</v>
      </c>
      <c r="BD53">
        <v>0.43116644130102549</v>
      </c>
      <c r="BE53">
        <v>0.40109461450532541</v>
      </c>
      <c r="BF53">
        <v>0.3976949271278663</v>
      </c>
      <c r="BG53" s="28">
        <v>0.92757081698443067</v>
      </c>
      <c r="BH53" s="28">
        <v>0.93473925392647261</v>
      </c>
      <c r="BI53" s="28">
        <v>0.26431496201882082</v>
      </c>
      <c r="BJ53" s="28">
        <v>0.25909801714150671</v>
      </c>
      <c r="BK53" s="28">
        <v>0.81984496454454825</v>
      </c>
      <c r="BL53" s="27">
        <v>9.2361111111111116E-3</v>
      </c>
      <c r="BM53">
        <v>20</v>
      </c>
      <c r="BN53">
        <v>5.4</v>
      </c>
      <c r="BO53">
        <v>11.642160844237759</v>
      </c>
      <c r="BP53">
        <v>13.030529928325659</v>
      </c>
      <c r="BQ53">
        <v>14.110968406648031</v>
      </c>
      <c r="BZ53">
        <v>9</v>
      </c>
      <c r="CA53">
        <v>11</v>
      </c>
      <c r="CB53">
        <v>12</v>
      </c>
      <c r="CC53">
        <v>15</v>
      </c>
      <c r="CD53">
        <v>19</v>
      </c>
      <c r="CE53">
        <v>20</v>
      </c>
    </row>
    <row r="54" spans="2:88" x14ac:dyDescent="0.3">
      <c r="B54" s="21" t="s">
        <v>152</v>
      </c>
      <c r="C54" s="21" t="s">
        <v>98</v>
      </c>
      <c r="D54" s="21">
        <v>24</v>
      </c>
      <c r="E54" s="21">
        <v>1.746</v>
      </c>
      <c r="F54" s="21">
        <v>61.7</v>
      </c>
      <c r="G54" s="21">
        <v>6</v>
      </c>
      <c r="H54" s="21">
        <v>100</v>
      </c>
      <c r="I54" s="21" t="s">
        <v>94</v>
      </c>
      <c r="J54" s="5">
        <v>2.6388888888888889E-2</v>
      </c>
      <c r="K54" s="21">
        <v>14.89629067844127</v>
      </c>
      <c r="L54" s="21">
        <v>53.516421193408974</v>
      </c>
      <c r="N54" s="21">
        <v>189</v>
      </c>
      <c r="O54" s="21">
        <v>20</v>
      </c>
      <c r="P54" s="21">
        <v>17</v>
      </c>
      <c r="Q54" s="21">
        <v>18</v>
      </c>
      <c r="R54" s="21">
        <v>22.242857142857019</v>
      </c>
      <c r="S54" s="21">
        <v>44.124635568513121</v>
      </c>
      <c r="T54" s="21">
        <v>753</v>
      </c>
      <c r="U54">
        <v>9.7591304347826089</v>
      </c>
      <c r="V54">
        <v>10.66909090909091</v>
      </c>
      <c r="W54">
        <v>11.48961538461538</v>
      </c>
      <c r="X54">
        <v>12.52708333333333</v>
      </c>
      <c r="Y54">
        <v>13.66888888888889</v>
      </c>
      <c r="AF54">
        <v>1987.987298186956</v>
      </c>
      <c r="AG54">
        <v>2123.318810086364</v>
      </c>
      <c r="AH54">
        <v>2320.1706099846151</v>
      </c>
      <c r="AI54">
        <v>2536.691453091667</v>
      </c>
      <c r="AJ54">
        <v>2738.3009993407409</v>
      </c>
      <c r="AQ54">
        <v>122.4166666666667</v>
      </c>
      <c r="AR54">
        <v>136.04166666666671</v>
      </c>
      <c r="AS54">
        <v>145.14814814814821</v>
      </c>
      <c r="AT54">
        <v>151.46153846153851</v>
      </c>
      <c r="AU54">
        <v>161.5333333333333</v>
      </c>
      <c r="BB54">
        <v>0.16748446135502479</v>
      </c>
      <c r="BC54">
        <v>0.42250810497983787</v>
      </c>
      <c r="BD54">
        <v>0.42825813870353968</v>
      </c>
      <c r="BE54">
        <v>0.41723892474313801</v>
      </c>
      <c r="BF54">
        <v>0.40947157774214832</v>
      </c>
      <c r="BG54" s="28">
        <v>0.92916200371672075</v>
      </c>
      <c r="BH54" s="28">
        <v>0.93197997241389896</v>
      </c>
      <c r="BI54" s="28">
        <v>0.25003927373988261</v>
      </c>
      <c r="BJ54" s="28">
        <v>0.25148104398727661</v>
      </c>
      <c r="BK54" s="28">
        <v>0.81542901193469008</v>
      </c>
      <c r="BL54" s="27">
        <v>9.0972222222222218E-3</v>
      </c>
      <c r="BM54">
        <v>18</v>
      </c>
      <c r="BN54">
        <v>7.1</v>
      </c>
      <c r="BO54">
        <v>9.9015145344073687</v>
      </c>
      <c r="BP54">
        <v>10.695142739433811</v>
      </c>
      <c r="BQ54">
        <v>11.52472901107571</v>
      </c>
      <c r="BR54">
        <v>12.614240899963811</v>
      </c>
      <c r="BS54">
        <v>13.754926016312631</v>
      </c>
      <c r="BZ54">
        <v>7</v>
      </c>
      <c r="CA54">
        <v>8</v>
      </c>
      <c r="CB54">
        <v>9</v>
      </c>
      <c r="CC54">
        <v>10</v>
      </c>
      <c r="CD54">
        <v>12</v>
      </c>
      <c r="CE54">
        <v>14</v>
      </c>
      <c r="CF54">
        <v>16</v>
      </c>
      <c r="CG54">
        <v>18</v>
      </c>
      <c r="CH54">
        <v>20</v>
      </c>
    </row>
    <row r="55" spans="2:88" x14ac:dyDescent="0.3">
      <c r="B55" s="21" t="s">
        <v>153</v>
      </c>
      <c r="C55" s="21" t="s">
        <v>93</v>
      </c>
      <c r="D55" s="21">
        <v>38</v>
      </c>
      <c r="E55" s="21">
        <v>1.835</v>
      </c>
      <c r="F55" s="21">
        <v>85.6</v>
      </c>
      <c r="G55" s="21">
        <v>6</v>
      </c>
      <c r="H55" s="21">
        <v>75</v>
      </c>
      <c r="I55" s="21" t="s">
        <v>94</v>
      </c>
      <c r="J55" s="5">
        <v>2.4432870370370369E-2</v>
      </c>
      <c r="K55" s="21">
        <v>14.79054134765002</v>
      </c>
      <c r="L55" s="21">
        <v>48.999005469859817</v>
      </c>
      <c r="N55" s="21">
        <v>168</v>
      </c>
      <c r="O55" s="21">
        <v>17</v>
      </c>
      <c r="P55" s="21">
        <v>17</v>
      </c>
      <c r="Q55" s="21">
        <v>18</v>
      </c>
      <c r="R55" s="21">
        <v>21.15549777117398</v>
      </c>
      <c r="S55" s="21">
        <v>45.070579494799397</v>
      </c>
      <c r="T55" s="21">
        <v>753.78157503714715</v>
      </c>
      <c r="U55">
        <v>12.479565217391309</v>
      </c>
      <c r="V55">
        <v>13.94227272727273</v>
      </c>
      <c r="W55">
        <v>15.519545454545449</v>
      </c>
      <c r="X55">
        <v>16.355384615384619</v>
      </c>
      <c r="Y55">
        <v>17.303461538461541</v>
      </c>
      <c r="AF55">
        <v>2532.9804849956522</v>
      </c>
      <c r="AG55">
        <v>2809.260472313636</v>
      </c>
      <c r="AH55">
        <v>3118.2666826818172</v>
      </c>
      <c r="AI55">
        <v>3279.2470517423071</v>
      </c>
      <c r="AJ55">
        <v>3463.2587349230762</v>
      </c>
      <c r="AQ55">
        <v>112.60869565217391</v>
      </c>
      <c r="AR55">
        <v>119.4782608695652</v>
      </c>
      <c r="AS55">
        <v>128.58333333333329</v>
      </c>
      <c r="AT55">
        <v>137.4814814814815</v>
      </c>
      <c r="AU55">
        <v>144.53571428571431</v>
      </c>
      <c r="BB55">
        <v>0.16597222986708601</v>
      </c>
      <c r="BC55">
        <v>0.44918580836965188</v>
      </c>
      <c r="BD55">
        <v>0.44802009807552562</v>
      </c>
      <c r="BE55">
        <v>0.42521449310273041</v>
      </c>
      <c r="BF55">
        <v>0.43038846859232072</v>
      </c>
      <c r="BG55" s="28">
        <v>0.97527441111477942</v>
      </c>
      <c r="BH55" s="28">
        <v>0.97672467340122571</v>
      </c>
      <c r="BI55" s="28">
        <v>0.29862578601964612</v>
      </c>
      <c r="BJ55" s="28">
        <v>0.29707015035730649</v>
      </c>
      <c r="BK55" s="28">
        <v>0.8590004577419974</v>
      </c>
      <c r="BM55">
        <v>16</v>
      </c>
      <c r="BN55">
        <v>3.8</v>
      </c>
      <c r="BO55">
        <v>12.62149373312649</v>
      </c>
      <c r="BP55">
        <v>14.081291977069689</v>
      </c>
      <c r="BQ55">
        <v>15.60729575969772</v>
      </c>
      <c r="BR55">
        <v>16.444332965301591</v>
      </c>
      <c r="BS55">
        <v>17.399667065157921</v>
      </c>
      <c r="BZ55">
        <v>7</v>
      </c>
      <c r="CA55">
        <v>8</v>
      </c>
      <c r="CB55">
        <v>8</v>
      </c>
      <c r="CC55">
        <v>8</v>
      </c>
      <c r="CD55">
        <v>9</v>
      </c>
      <c r="CE55">
        <v>11</v>
      </c>
      <c r="CF55">
        <v>12</v>
      </c>
      <c r="CG55">
        <v>14</v>
      </c>
      <c r="CH55">
        <v>17</v>
      </c>
    </row>
    <row r="56" spans="2:88" x14ac:dyDescent="0.3">
      <c r="B56" s="21" t="s">
        <v>154</v>
      </c>
      <c r="C56" s="21" t="s">
        <v>93</v>
      </c>
      <c r="D56" s="21">
        <v>37</v>
      </c>
      <c r="E56" s="21">
        <v>1.6839999999999999</v>
      </c>
      <c r="F56" s="21">
        <v>69.400000000000006</v>
      </c>
      <c r="G56" s="21">
        <v>2</v>
      </c>
      <c r="H56" s="21">
        <v>12</v>
      </c>
      <c r="I56" s="21" t="s">
        <v>94</v>
      </c>
      <c r="J56" s="5">
        <v>2.6388888888888889E-2</v>
      </c>
      <c r="K56" s="21">
        <v>14.573907735495929</v>
      </c>
      <c r="L56" s="21">
        <v>60.557953719404409</v>
      </c>
      <c r="N56" s="21">
        <v>189</v>
      </c>
      <c r="O56" s="21">
        <v>20</v>
      </c>
      <c r="P56" s="21">
        <v>17</v>
      </c>
      <c r="Q56" s="21">
        <v>18</v>
      </c>
      <c r="R56" s="21">
        <v>21.041372795969728</v>
      </c>
      <c r="S56" s="21">
        <v>41.883501259445843</v>
      </c>
      <c r="T56" s="21">
        <v>756.00377833753146</v>
      </c>
      <c r="U56">
        <v>12.936363636363639</v>
      </c>
      <c r="V56">
        <v>13.07111111111111</v>
      </c>
      <c r="W56">
        <v>14.605862068965511</v>
      </c>
      <c r="X56">
        <v>15.8609375</v>
      </c>
      <c r="Y56">
        <v>16.510571428571431</v>
      </c>
      <c r="AF56">
        <v>2604.4100389499999</v>
      </c>
      <c r="AG56">
        <v>2626.287342003704</v>
      </c>
      <c r="AH56">
        <v>2940.6734569428568</v>
      </c>
      <c r="AI56">
        <v>3179.4935259468748</v>
      </c>
      <c r="AJ56">
        <v>3297.567311428571</v>
      </c>
      <c r="AQ56">
        <v>126.6666666666667</v>
      </c>
      <c r="AR56">
        <v>143.53571428571431</v>
      </c>
      <c r="AS56">
        <v>153.33333333333329</v>
      </c>
      <c r="AT56">
        <v>161.24242424242419</v>
      </c>
      <c r="AU56">
        <v>167.2222222222222</v>
      </c>
      <c r="BB56">
        <v>0.16449975642785841</v>
      </c>
      <c r="BC56">
        <v>0.40999033515826883</v>
      </c>
      <c r="BD56">
        <v>0.40788403410202889</v>
      </c>
      <c r="BE56">
        <v>0.38836761457959279</v>
      </c>
      <c r="BF56">
        <v>0.38486191496004968</v>
      </c>
      <c r="BG56" s="28">
        <v>0.89151951536536211</v>
      </c>
      <c r="BH56" s="28">
        <v>0.88515627601742741</v>
      </c>
      <c r="BI56" s="28">
        <v>0.2764592699684979</v>
      </c>
      <c r="BJ56" s="28">
        <v>0.28355597163795471</v>
      </c>
      <c r="BK56" s="28">
        <v>0.79566210430860518</v>
      </c>
      <c r="BL56" s="27">
        <v>2.5740740740740741E-2</v>
      </c>
      <c r="BM56">
        <v>20</v>
      </c>
      <c r="BN56">
        <v>9.3000000000000007</v>
      </c>
      <c r="BO56">
        <v>13.013752892979779</v>
      </c>
      <c r="BP56">
        <v>13.14557545999522</v>
      </c>
      <c r="BQ56">
        <v>14.670908885902699</v>
      </c>
      <c r="BR56">
        <v>16.050857317421119</v>
      </c>
      <c r="BS56">
        <v>16.600437461543649</v>
      </c>
      <c r="BZ56">
        <v>9</v>
      </c>
      <c r="CA56">
        <v>10</v>
      </c>
      <c r="CB56">
        <v>11</v>
      </c>
      <c r="CC56">
        <v>12</v>
      </c>
      <c r="CD56">
        <v>13</v>
      </c>
      <c r="CE56">
        <v>13</v>
      </c>
      <c r="CF56">
        <v>14</v>
      </c>
      <c r="CG56">
        <v>19</v>
      </c>
      <c r="CH56">
        <v>20</v>
      </c>
    </row>
    <row r="57" spans="2:88" x14ac:dyDescent="0.3">
      <c r="B57" s="21" t="s">
        <v>155</v>
      </c>
      <c r="C57" s="21" t="s">
        <v>98</v>
      </c>
      <c r="D57" s="21">
        <v>42</v>
      </c>
      <c r="E57" s="21">
        <v>1.68</v>
      </c>
      <c r="F57" s="21">
        <v>55</v>
      </c>
      <c r="G57" s="21">
        <v>5</v>
      </c>
      <c r="H57" s="21">
        <v>56</v>
      </c>
      <c r="I57" s="21" t="s">
        <v>94</v>
      </c>
      <c r="J57" s="5">
        <v>3.5925925925925917E-2</v>
      </c>
      <c r="K57" s="21">
        <v>11.919778811496309</v>
      </c>
      <c r="L57" s="21">
        <v>46.640407288848479</v>
      </c>
      <c r="N57" s="21">
        <v>191</v>
      </c>
      <c r="O57" s="21">
        <v>20</v>
      </c>
      <c r="P57" s="21">
        <v>13</v>
      </c>
      <c r="Q57" s="21">
        <v>14</v>
      </c>
      <c r="R57" s="21">
        <v>22.398760842627031</v>
      </c>
      <c r="S57" s="21">
        <v>41.510532837670382</v>
      </c>
      <c r="T57" s="21">
        <v>752</v>
      </c>
      <c r="U57">
        <v>9.3479166666666647</v>
      </c>
      <c r="V57">
        <v>10.54481481481481</v>
      </c>
      <c r="AF57">
        <v>1886.4770778666659</v>
      </c>
      <c r="AG57">
        <v>2118.3759508740741</v>
      </c>
      <c r="AQ57">
        <v>105.80769230769231</v>
      </c>
      <c r="AR57">
        <v>131.35714285714289</v>
      </c>
      <c r="BB57">
        <v>0.16540533400992871</v>
      </c>
      <c r="BC57">
        <v>0.42204314633568002</v>
      </c>
      <c r="BD57">
        <v>0.41617399180096698</v>
      </c>
      <c r="BE57">
        <v>0.3939724169928851</v>
      </c>
      <c r="BF57">
        <v>0.40103493114466959</v>
      </c>
      <c r="BG57" s="28">
        <v>0.90932806903123853</v>
      </c>
      <c r="BH57" s="28">
        <v>0.90859625032544133</v>
      </c>
      <c r="BI57" s="28">
        <v>0.25428641178921041</v>
      </c>
      <c r="BJ57" s="28">
        <v>0.25410280438186961</v>
      </c>
      <c r="BK57" s="28">
        <v>0.77103784032166001</v>
      </c>
      <c r="BL57" s="27">
        <v>9.8148148148148144E-3</v>
      </c>
      <c r="BM57">
        <v>19</v>
      </c>
      <c r="BN57">
        <v>6.4</v>
      </c>
      <c r="BO57">
        <v>9.4297164782004099</v>
      </c>
      <c r="BP57">
        <v>10.65265540765205</v>
      </c>
      <c r="BZ57">
        <v>8</v>
      </c>
      <c r="CA57">
        <v>10</v>
      </c>
      <c r="CB57">
        <v>13</v>
      </c>
      <c r="CC57">
        <v>16</v>
      </c>
      <c r="CD57">
        <v>20</v>
      </c>
    </row>
    <row r="58" spans="2:88" x14ac:dyDescent="0.3">
      <c r="B58" s="21" t="s">
        <v>156</v>
      </c>
      <c r="C58" s="21" t="s">
        <v>93</v>
      </c>
      <c r="D58" s="21">
        <v>20</v>
      </c>
      <c r="E58" s="21">
        <v>1.7809999999999999</v>
      </c>
      <c r="F58" s="21">
        <v>69.8</v>
      </c>
      <c r="G58" s="21">
        <v>3</v>
      </c>
      <c r="H58" s="21">
        <v>25</v>
      </c>
      <c r="I58" s="21" t="s">
        <v>94</v>
      </c>
      <c r="J58" s="5">
        <v>2.268518518518519E-2</v>
      </c>
      <c r="K58" s="21">
        <v>16.5706980503236</v>
      </c>
      <c r="L58" s="21">
        <v>56.943760995988541</v>
      </c>
      <c r="N58" s="21">
        <v>197</v>
      </c>
      <c r="O58" s="21">
        <v>20</v>
      </c>
      <c r="P58" s="21">
        <v>19</v>
      </c>
      <c r="Q58" s="21">
        <v>20</v>
      </c>
      <c r="R58" s="21">
        <v>21.498645937813631</v>
      </c>
      <c r="S58" s="21">
        <v>42.913239719157467</v>
      </c>
      <c r="T58" s="21">
        <v>751</v>
      </c>
      <c r="U58">
        <v>12.095000000000001</v>
      </c>
      <c r="V58">
        <v>12.475</v>
      </c>
      <c r="W58">
        <v>14.00074074074074</v>
      </c>
      <c r="X58">
        <v>14.60793103448276</v>
      </c>
      <c r="Y58">
        <v>15.950967741935481</v>
      </c>
      <c r="Z58">
        <v>16.55970588235294</v>
      </c>
      <c r="AA58">
        <v>18.035428571428579</v>
      </c>
      <c r="AF58">
        <v>2463.931129320833</v>
      </c>
      <c r="AG58">
        <v>2507.332237107692</v>
      </c>
      <c r="AH58">
        <v>2807.5598788703701</v>
      </c>
      <c r="AI58">
        <v>2919.9505599482759</v>
      </c>
      <c r="AJ58">
        <v>3163.119982220001</v>
      </c>
      <c r="AK58">
        <v>3278.7623875205868</v>
      </c>
      <c r="AL58">
        <v>3558.9304845657148</v>
      </c>
      <c r="AQ58">
        <v>111.52</v>
      </c>
      <c r="AR58">
        <v>119.7777777777778</v>
      </c>
      <c r="AS58">
        <v>129.44827586206901</v>
      </c>
      <c r="AT58">
        <v>134.71875</v>
      </c>
      <c r="AU58">
        <v>147.03125</v>
      </c>
      <c r="AV58">
        <v>156.34285714285721</v>
      </c>
      <c r="AW58">
        <v>165.86111111111109</v>
      </c>
      <c r="BB58">
        <v>0.16836634165009071</v>
      </c>
      <c r="BC58">
        <v>0.42979597746335818</v>
      </c>
      <c r="BD58">
        <v>0.42920709059792289</v>
      </c>
      <c r="BE58">
        <v>0.41937704331620029</v>
      </c>
      <c r="BF58">
        <v>0.4192473272281656</v>
      </c>
      <c r="BG58" s="28">
        <v>0.95211706248245975</v>
      </c>
      <c r="BH58" s="28">
        <v>0.94908188123334325</v>
      </c>
      <c r="BI58" s="28">
        <v>0.27044033663913308</v>
      </c>
      <c r="BJ58" s="28">
        <v>0.26990089749080398</v>
      </c>
      <c r="BK58" s="28">
        <v>0.83040052814209842</v>
      </c>
      <c r="BL58" s="27">
        <v>1.908564814814815E-2</v>
      </c>
      <c r="BM58">
        <v>19</v>
      </c>
      <c r="BN58">
        <v>3.5</v>
      </c>
      <c r="BO58">
        <v>12.291400367779509</v>
      </c>
      <c r="BP58">
        <v>12.536734396101849</v>
      </c>
      <c r="BQ58">
        <v>14.109112278325989</v>
      </c>
      <c r="BR58">
        <v>14.812924197907449</v>
      </c>
      <c r="BS58">
        <v>15.9801421025556</v>
      </c>
      <c r="BT58">
        <v>16.546895202925679</v>
      </c>
      <c r="BU58">
        <v>17.97577466165259</v>
      </c>
      <c r="BZ58">
        <v>8</v>
      </c>
      <c r="CA58">
        <v>9</v>
      </c>
      <c r="CB58">
        <v>10</v>
      </c>
      <c r="CC58">
        <v>10</v>
      </c>
      <c r="CD58">
        <v>12</v>
      </c>
      <c r="CE58">
        <v>13</v>
      </c>
      <c r="CF58">
        <v>15</v>
      </c>
      <c r="CG58">
        <v>17</v>
      </c>
      <c r="CH58">
        <v>18</v>
      </c>
      <c r="CI58">
        <v>19</v>
      </c>
      <c r="CJ58">
        <v>20</v>
      </c>
    </row>
    <row r="59" spans="2:88" x14ac:dyDescent="0.3">
      <c r="B59" s="21" t="s">
        <v>157</v>
      </c>
      <c r="C59" s="21" t="s">
        <v>98</v>
      </c>
      <c r="D59" s="21">
        <v>22</v>
      </c>
      <c r="E59" s="21">
        <v>1.702</v>
      </c>
      <c r="F59" s="21">
        <v>65.7</v>
      </c>
      <c r="G59" s="21">
        <v>3</v>
      </c>
      <c r="H59" s="21">
        <v>25</v>
      </c>
      <c r="J59" s="5">
        <v>3.7499999999999999E-2</v>
      </c>
      <c r="K59" s="21">
        <v>12.44982167581172</v>
      </c>
      <c r="L59" s="21">
        <v>39.20861882343987</v>
      </c>
      <c r="N59" s="21">
        <v>191</v>
      </c>
      <c r="O59" s="21">
        <v>20</v>
      </c>
      <c r="P59" s="21">
        <v>14</v>
      </c>
      <c r="Q59" s="21">
        <v>15</v>
      </c>
      <c r="R59" s="21">
        <v>20.424860557768771</v>
      </c>
      <c r="S59" s="21">
        <v>40.25019920318725</v>
      </c>
      <c r="T59" s="21">
        <v>755</v>
      </c>
      <c r="U59">
        <v>10.90030303030303</v>
      </c>
      <c r="V59">
        <v>11.605833333333329</v>
      </c>
      <c r="W59">
        <v>12.599189189189181</v>
      </c>
      <c r="AF59">
        <v>2190.7321832333341</v>
      </c>
      <c r="AG59">
        <v>2332.1861481916671</v>
      </c>
      <c r="AH59">
        <v>2502.596085194285</v>
      </c>
      <c r="AQ59">
        <v>150.4</v>
      </c>
      <c r="AR59">
        <v>163.05128205128199</v>
      </c>
      <c r="AS59">
        <v>172.63157894736841</v>
      </c>
      <c r="BB59">
        <v>0.15145411191017061</v>
      </c>
      <c r="BC59">
        <v>0.42991752394253119</v>
      </c>
      <c r="BD59">
        <v>0.43765349098883538</v>
      </c>
      <c r="BE59">
        <v>0.41745712778531702</v>
      </c>
      <c r="BF59">
        <v>0.41937443839413291</v>
      </c>
      <c r="BG59" s="28">
        <v>0.94064144355058665</v>
      </c>
      <c r="BH59" s="28">
        <v>0.94684035462141036</v>
      </c>
      <c r="BI59" s="28">
        <v>0.26098364056869588</v>
      </c>
      <c r="BJ59" s="28">
        <v>0.26229700521511629</v>
      </c>
      <c r="BK59" s="28">
        <v>0.75825910091400139</v>
      </c>
      <c r="BL59" s="27">
        <v>8.9583333333333338E-3</v>
      </c>
      <c r="BM59">
        <v>20</v>
      </c>
      <c r="BN59">
        <v>10.199999999999999</v>
      </c>
      <c r="BO59">
        <v>10.95386987444021</v>
      </c>
      <c r="BP59">
        <v>11.69475497641977</v>
      </c>
      <c r="BQ59">
        <v>12.55912901660067</v>
      </c>
      <c r="BZ59">
        <v>8</v>
      </c>
      <c r="CA59">
        <v>10</v>
      </c>
      <c r="CB59">
        <v>13</v>
      </c>
      <c r="CC59">
        <v>16</v>
      </c>
      <c r="CD59">
        <v>19</v>
      </c>
      <c r="CE59">
        <v>20</v>
      </c>
    </row>
    <row r="60" spans="2:88" x14ac:dyDescent="0.3">
      <c r="B60" s="21" t="s">
        <v>158</v>
      </c>
      <c r="C60" s="21" t="s">
        <v>93</v>
      </c>
      <c r="D60" s="21">
        <v>21</v>
      </c>
      <c r="E60" s="21">
        <v>1.7689999999999999</v>
      </c>
      <c r="F60" s="21">
        <v>79.3</v>
      </c>
      <c r="G60" s="21">
        <v>5</v>
      </c>
      <c r="H60" s="21">
        <v>40</v>
      </c>
      <c r="I60" s="21" t="s">
        <v>159</v>
      </c>
      <c r="J60" s="5">
        <v>2.777777777777778E-2</v>
      </c>
      <c r="K60" s="21">
        <v>14.56019376519807</v>
      </c>
      <c r="L60" s="21">
        <v>58.257471338125271</v>
      </c>
      <c r="N60" s="21">
        <v>201</v>
      </c>
      <c r="O60" s="21">
        <v>20</v>
      </c>
      <c r="P60" s="21">
        <v>17</v>
      </c>
      <c r="Q60" s="21">
        <v>18</v>
      </c>
      <c r="R60" s="21">
        <v>21.900172314761789</v>
      </c>
      <c r="S60" s="21">
        <v>36.449167145318782</v>
      </c>
      <c r="T60" s="21">
        <v>755.55025847214245</v>
      </c>
      <c r="U60">
        <v>15.68793103448276</v>
      </c>
      <c r="V60">
        <v>18.2</v>
      </c>
      <c r="W60">
        <v>19.928928571428571</v>
      </c>
      <c r="X60">
        <v>20.58258064516129</v>
      </c>
      <c r="Y60">
        <v>20.88818181818182</v>
      </c>
      <c r="AF60">
        <v>3172.2588706551719</v>
      </c>
      <c r="AG60">
        <v>3653.080520468965</v>
      </c>
      <c r="AH60">
        <v>3987.9837388535711</v>
      </c>
      <c r="AI60">
        <v>4080.3892986032261</v>
      </c>
      <c r="AJ60">
        <v>4122.406145439395</v>
      </c>
      <c r="AQ60">
        <v>133.41935483870969</v>
      </c>
      <c r="AR60">
        <v>146.6</v>
      </c>
      <c r="AS60">
        <v>156.65517241379311</v>
      </c>
      <c r="AT60">
        <v>170.47058823529409</v>
      </c>
      <c r="AU60">
        <v>177.68571428571431</v>
      </c>
      <c r="BB60">
        <v>0.16593961870251819</v>
      </c>
      <c r="BC60">
        <v>0.45362337640572631</v>
      </c>
      <c r="BD60">
        <v>0.45542533979694932</v>
      </c>
      <c r="BE60">
        <v>0.42457827147812011</v>
      </c>
      <c r="BF60">
        <v>0.42130122750565352</v>
      </c>
      <c r="BG60" s="28">
        <v>0.97827470314502718</v>
      </c>
      <c r="BH60" s="28">
        <v>0.97735371986031527</v>
      </c>
      <c r="BI60" s="28">
        <v>0.27642473957856661</v>
      </c>
      <c r="BJ60" s="28">
        <v>0.27912448090088132</v>
      </c>
      <c r="BK60" s="28">
        <v>0.79118578849732868</v>
      </c>
      <c r="BL60" s="27">
        <v>1.383101851851852E-2</v>
      </c>
      <c r="BM60">
        <v>20</v>
      </c>
      <c r="BN60">
        <v>12.4</v>
      </c>
      <c r="BO60">
        <v>15.86509101095889</v>
      </c>
      <c r="BP60">
        <v>18.265340867525421</v>
      </c>
      <c r="BQ60">
        <v>20.045446082060209</v>
      </c>
      <c r="BR60">
        <v>20.629857497835811</v>
      </c>
      <c r="BS60">
        <v>20.907464306682279</v>
      </c>
      <c r="BZ60">
        <v>7</v>
      </c>
      <c r="CA60">
        <v>9</v>
      </c>
      <c r="CB60">
        <v>10</v>
      </c>
      <c r="CC60">
        <v>12</v>
      </c>
      <c r="CD60">
        <v>13</v>
      </c>
      <c r="CE60">
        <v>14</v>
      </c>
      <c r="CF60">
        <v>16</v>
      </c>
      <c r="CG60">
        <v>18</v>
      </c>
      <c r="CH60">
        <v>20</v>
      </c>
    </row>
    <row r="61" spans="2:88" x14ac:dyDescent="0.3">
      <c r="B61" s="21" t="s">
        <v>160</v>
      </c>
      <c r="C61" s="21" t="s">
        <v>93</v>
      </c>
      <c r="D61" s="21">
        <v>41</v>
      </c>
      <c r="E61" s="21">
        <v>1.7909999999999999</v>
      </c>
      <c r="F61" s="21">
        <v>68.8</v>
      </c>
      <c r="G61" s="21">
        <v>6</v>
      </c>
      <c r="H61" s="21">
        <v>96</v>
      </c>
      <c r="J61" s="5">
        <v>2.4282407407407409E-2</v>
      </c>
      <c r="K61" s="21">
        <v>15.56117422765244</v>
      </c>
      <c r="L61" s="21">
        <v>69.024144628003882</v>
      </c>
      <c r="N61" s="21">
        <v>187</v>
      </c>
      <c r="O61" s="21">
        <v>20</v>
      </c>
      <c r="P61" s="21">
        <v>18</v>
      </c>
      <c r="Q61" s="21">
        <v>18</v>
      </c>
      <c r="R61" s="21">
        <v>22.777380952380931</v>
      </c>
      <c r="S61" s="21">
        <v>40.625350140056021</v>
      </c>
      <c r="T61" s="21">
        <v>759.89775910364142</v>
      </c>
      <c r="U61">
        <v>13.214</v>
      </c>
      <c r="V61">
        <v>13.59090909090909</v>
      </c>
      <c r="W61">
        <v>15.21777777777778</v>
      </c>
      <c r="X61">
        <v>16.457407407407409</v>
      </c>
      <c r="Y61">
        <v>18.87</v>
      </c>
      <c r="Z61">
        <v>19.13666666666667</v>
      </c>
      <c r="AF61">
        <v>2633.377212512501</v>
      </c>
      <c r="AG61">
        <v>2724.45071920909</v>
      </c>
      <c r="AH61">
        <v>3016.0643852277781</v>
      </c>
      <c r="AI61">
        <v>3257.4683900851851</v>
      </c>
      <c r="AJ61">
        <v>3726.234055944999</v>
      </c>
      <c r="AK61">
        <v>3789.2618726380952</v>
      </c>
      <c r="AQ61">
        <v>132.47058823529409</v>
      </c>
      <c r="AR61">
        <v>140.4545454545455</v>
      </c>
      <c r="AS61">
        <v>147.36842105263159</v>
      </c>
      <c r="AT61">
        <v>156.17857142857139</v>
      </c>
      <c r="AU61">
        <v>162.0952380952381</v>
      </c>
      <c r="AV61">
        <v>165.8636363636364</v>
      </c>
      <c r="BB61">
        <v>0.15641956938399251</v>
      </c>
      <c r="BC61">
        <v>0.46370868836787621</v>
      </c>
      <c r="BD61">
        <v>0.47198768914936801</v>
      </c>
      <c r="BE61">
        <v>0.45409950537638788</v>
      </c>
      <c r="BF61">
        <v>0.4514821369831345</v>
      </c>
      <c r="BG61" s="28">
        <v>1.0206144547462459</v>
      </c>
      <c r="BH61" s="28">
        <v>1.028397025108337</v>
      </c>
      <c r="BI61" s="28">
        <v>0.29166924274714717</v>
      </c>
      <c r="BJ61" s="28">
        <v>0.29448155688730993</v>
      </c>
      <c r="BK61" s="28">
        <v>0.76649426007270804</v>
      </c>
      <c r="BM61">
        <v>20</v>
      </c>
      <c r="BN61">
        <v>7.2</v>
      </c>
      <c r="BO61">
        <v>13.183678026542511</v>
      </c>
      <c r="BP61">
        <v>13.825070964759259</v>
      </c>
      <c r="BQ61">
        <v>15.107422969745141</v>
      </c>
      <c r="BR61">
        <v>16.34261758025924</v>
      </c>
      <c r="BS61">
        <v>18.83905539261136</v>
      </c>
      <c r="BT61">
        <v>19.18271225107803</v>
      </c>
      <c r="BZ61">
        <v>9</v>
      </c>
      <c r="CA61">
        <v>9</v>
      </c>
      <c r="CB61">
        <v>12</v>
      </c>
      <c r="CC61">
        <v>12</v>
      </c>
      <c r="CD61">
        <v>14</v>
      </c>
      <c r="CE61">
        <v>16</v>
      </c>
      <c r="CF61">
        <v>17</v>
      </c>
      <c r="CG61">
        <v>19</v>
      </c>
      <c r="CH61">
        <v>20</v>
      </c>
    </row>
    <row r="62" spans="2:88" x14ac:dyDescent="0.3">
      <c r="B62" s="21" t="s">
        <v>161</v>
      </c>
      <c r="C62" s="21" t="s">
        <v>93</v>
      </c>
      <c r="D62" s="21">
        <v>35</v>
      </c>
      <c r="E62" s="21">
        <v>1.889</v>
      </c>
      <c r="F62" s="21">
        <v>78.5</v>
      </c>
      <c r="G62" s="21">
        <v>6</v>
      </c>
      <c r="H62" s="21">
        <v>95</v>
      </c>
      <c r="I62" s="21" t="s">
        <v>162</v>
      </c>
      <c r="J62" s="5">
        <v>2.9513888888888892E-2</v>
      </c>
      <c r="K62" s="21">
        <v>14.00775621132761</v>
      </c>
      <c r="L62" s="21">
        <v>48.85619582089172</v>
      </c>
      <c r="N62" s="21">
        <v>186</v>
      </c>
      <c r="O62" s="21">
        <v>20</v>
      </c>
      <c r="P62" s="21">
        <v>16</v>
      </c>
      <c r="Q62" s="21">
        <v>17</v>
      </c>
      <c r="R62" s="21">
        <v>22.190050697084601</v>
      </c>
      <c r="S62" s="21">
        <v>41.278200253485423</v>
      </c>
      <c r="T62" s="21">
        <v>759</v>
      </c>
      <c r="U62">
        <v>12.39344827586207</v>
      </c>
      <c r="V62">
        <v>13.701212121212119</v>
      </c>
      <c r="W62">
        <v>14.89184210526316</v>
      </c>
      <c r="X62">
        <v>15.850512820512821</v>
      </c>
      <c r="Y62">
        <v>17.109523809523811</v>
      </c>
      <c r="AF62">
        <v>2522.1500871517242</v>
      </c>
      <c r="AG62">
        <v>2770.3540149727269</v>
      </c>
      <c r="AH62">
        <v>2988.563568897368</v>
      </c>
      <c r="AI62">
        <v>3175.9923790230769</v>
      </c>
      <c r="AJ62">
        <v>3405.1174044285731</v>
      </c>
      <c r="AQ62">
        <v>124.1</v>
      </c>
      <c r="AR62">
        <v>141.62857142857141</v>
      </c>
      <c r="AS62">
        <v>153.53846153846149</v>
      </c>
      <c r="AT62">
        <v>163.19512195121951</v>
      </c>
      <c r="AU62">
        <v>172.83720930232559</v>
      </c>
      <c r="BB62">
        <v>0.18369334904039719</v>
      </c>
      <c r="BC62">
        <v>0.457977554337893</v>
      </c>
      <c r="BD62">
        <v>0.45789360437549348</v>
      </c>
      <c r="BE62">
        <v>0.46764255229312102</v>
      </c>
      <c r="BF62">
        <v>0.46533651597717568</v>
      </c>
      <c r="BG62" s="28">
        <v>1.022098414182663</v>
      </c>
      <c r="BH62" s="28">
        <v>1.018425568401814</v>
      </c>
      <c r="BI62" s="28">
        <v>0.30209565350123868</v>
      </c>
      <c r="BJ62" s="28">
        <v>0.29749087110667832</v>
      </c>
      <c r="BK62" s="28">
        <v>0.86873800870776186</v>
      </c>
      <c r="BL62" s="27">
        <v>1.5150462962962959E-2</v>
      </c>
      <c r="BM62">
        <v>20</v>
      </c>
      <c r="BN62">
        <v>4.8</v>
      </c>
      <c r="BO62">
        <v>12.552643768285749</v>
      </c>
      <c r="BP62">
        <v>13.83325715927201</v>
      </c>
      <c r="BQ62">
        <v>15.00385251881019</v>
      </c>
      <c r="BR62">
        <v>15.897902440746</v>
      </c>
      <c r="BS62">
        <v>17.159167162160571</v>
      </c>
      <c r="BZ62">
        <v>10</v>
      </c>
      <c r="CA62">
        <v>12</v>
      </c>
      <c r="CB62">
        <v>13</v>
      </c>
      <c r="CC62">
        <v>14</v>
      </c>
      <c r="CD62">
        <v>15</v>
      </c>
      <c r="CE62">
        <v>17</v>
      </c>
      <c r="CF62">
        <v>19</v>
      </c>
      <c r="CG62">
        <v>20</v>
      </c>
    </row>
    <row r="63" spans="2:88" x14ac:dyDescent="0.3">
      <c r="B63" s="21" t="s">
        <v>163</v>
      </c>
      <c r="C63" s="21" t="s">
        <v>93</v>
      </c>
      <c r="D63" s="21">
        <v>35</v>
      </c>
      <c r="E63" s="21">
        <v>1.889</v>
      </c>
      <c r="F63" s="21">
        <v>78.5</v>
      </c>
      <c r="G63" s="21">
        <v>4</v>
      </c>
      <c r="H63" s="21">
        <v>35</v>
      </c>
      <c r="I63" s="21" t="s">
        <v>94</v>
      </c>
      <c r="J63" s="5">
        <v>2.8472222222222222E-2</v>
      </c>
      <c r="K63" s="21">
        <v>14.656350379410149</v>
      </c>
      <c r="L63" s="21">
        <v>52.7526339510828</v>
      </c>
      <c r="N63" s="21">
        <v>186</v>
      </c>
      <c r="O63" s="21">
        <v>20</v>
      </c>
      <c r="P63" s="21">
        <v>17</v>
      </c>
      <c r="Q63" s="21">
        <v>18</v>
      </c>
      <c r="R63" s="21">
        <v>23.41733535200602</v>
      </c>
      <c r="S63" s="21">
        <v>37.644965934897797</v>
      </c>
      <c r="T63" s="21">
        <v>758.99242997728993</v>
      </c>
      <c r="U63">
        <v>12.867647058823531</v>
      </c>
      <c r="V63">
        <v>13.877000000000001</v>
      </c>
      <c r="W63">
        <v>15.155909090909089</v>
      </c>
      <c r="X63">
        <v>15.963749999999999</v>
      </c>
      <c r="Y63">
        <v>17.502666666666659</v>
      </c>
      <c r="AF63">
        <v>2592.5086937941178</v>
      </c>
      <c r="AG63">
        <v>2790.7425285300001</v>
      </c>
      <c r="AH63">
        <v>3032.9104474999999</v>
      </c>
      <c r="AI63">
        <v>3171.7553613583332</v>
      </c>
      <c r="AJ63">
        <v>3458.4475327433329</v>
      </c>
      <c r="AQ63">
        <v>135.26315789473679</v>
      </c>
      <c r="AR63">
        <v>141.57142857142861</v>
      </c>
      <c r="AS63">
        <v>151.7391304347826</v>
      </c>
      <c r="AT63">
        <v>159.24</v>
      </c>
      <c r="AU63">
        <v>168.8064516129032</v>
      </c>
      <c r="BB63">
        <v>0.17828410419478111</v>
      </c>
      <c r="BC63">
        <v>0.44205741124701681</v>
      </c>
      <c r="BD63">
        <v>0.43566111947508868</v>
      </c>
      <c r="BE63">
        <v>0.43125144841906332</v>
      </c>
      <c r="BF63">
        <v>0.43119317240878552</v>
      </c>
      <c r="BG63" s="28">
        <v>0.97207552585005763</v>
      </c>
      <c r="BH63" s="28">
        <v>0.96532383310794834</v>
      </c>
      <c r="BI63" s="28">
        <v>0.28847632600550549</v>
      </c>
      <c r="BJ63" s="28">
        <v>0.28156101918790011</v>
      </c>
      <c r="BK63" s="28">
        <v>0.92030032052099697</v>
      </c>
      <c r="BL63" s="27">
        <v>8.9583333333333338E-3</v>
      </c>
      <c r="BM63">
        <v>20</v>
      </c>
      <c r="BN63">
        <v>6.5</v>
      </c>
      <c r="BO63">
        <v>12.96964078268409</v>
      </c>
      <c r="BP63">
        <v>13.974061626377379</v>
      </c>
      <c r="BQ63">
        <v>15.307068104826699</v>
      </c>
      <c r="BR63">
        <v>15.94893836091916</v>
      </c>
      <c r="BS63">
        <v>17.500256755498189</v>
      </c>
      <c r="BZ63">
        <v>10</v>
      </c>
      <c r="CA63">
        <v>12</v>
      </c>
      <c r="CB63">
        <v>13</v>
      </c>
      <c r="CC63">
        <v>15</v>
      </c>
      <c r="CD63">
        <v>16</v>
      </c>
      <c r="CE63">
        <v>18</v>
      </c>
      <c r="CF63">
        <v>19</v>
      </c>
      <c r="CG63">
        <v>19</v>
      </c>
      <c r="CH63">
        <v>20</v>
      </c>
    </row>
    <row r="64" spans="2:88" x14ac:dyDescent="0.3">
      <c r="B64" s="21" t="s">
        <v>164</v>
      </c>
      <c r="C64" s="21" t="s">
        <v>98</v>
      </c>
      <c r="D64" s="21">
        <v>25</v>
      </c>
      <c r="E64" s="21">
        <v>1.6859999999999999</v>
      </c>
      <c r="F64" s="21">
        <v>54.4</v>
      </c>
      <c r="G64" s="21">
        <v>6</v>
      </c>
      <c r="H64" s="21">
        <v>95</v>
      </c>
      <c r="I64" s="21" t="s">
        <v>165</v>
      </c>
      <c r="J64" s="5">
        <v>2.5000000000000001E-2</v>
      </c>
      <c r="K64" s="21">
        <v>15.468629916027981</v>
      </c>
      <c r="L64" s="21">
        <v>52.901637499264709</v>
      </c>
      <c r="N64" s="21">
        <v>193</v>
      </c>
      <c r="O64" s="21">
        <v>20</v>
      </c>
      <c r="P64" s="21">
        <v>18</v>
      </c>
      <c r="Q64" s="21">
        <v>18</v>
      </c>
      <c r="R64" s="21">
        <v>22.004166666666819</v>
      </c>
      <c r="S64" s="21">
        <v>36.049329501915707</v>
      </c>
      <c r="T64" s="21">
        <v>760.00814176245206</v>
      </c>
      <c r="U64">
        <v>10.19611111111111</v>
      </c>
      <c r="V64">
        <v>10.242051282051291</v>
      </c>
      <c r="W64">
        <v>10.86697674418604</v>
      </c>
      <c r="X64">
        <v>11.62511111111111</v>
      </c>
      <c r="Y64">
        <v>12.312142857142859</v>
      </c>
      <c r="Z64">
        <v>12.78978723404256</v>
      </c>
      <c r="AF64">
        <v>2106.3256327638892</v>
      </c>
      <c r="AG64">
        <v>2099.4623178974362</v>
      </c>
      <c r="AH64">
        <v>2212.3190315883721</v>
      </c>
      <c r="AI64">
        <v>2354.250489333333</v>
      </c>
      <c r="AJ64">
        <v>2484.6472696357141</v>
      </c>
      <c r="AK64">
        <v>2556.039490680851</v>
      </c>
      <c r="AQ64">
        <v>125.9736842105263</v>
      </c>
      <c r="AR64">
        <v>136.57499999999999</v>
      </c>
      <c r="AS64">
        <v>148.0454545454545</v>
      </c>
      <c r="AT64">
        <v>158.9130434782609</v>
      </c>
      <c r="AU64">
        <v>166.44186046511629</v>
      </c>
      <c r="AV64">
        <v>174.08163265306121</v>
      </c>
      <c r="BB64">
        <v>0.1482335292862928</v>
      </c>
      <c r="BC64">
        <v>0.42326120654686711</v>
      </c>
      <c r="BD64">
        <v>0.42513922977886431</v>
      </c>
      <c r="BE64">
        <v>0.40332216391749809</v>
      </c>
      <c r="BF64">
        <v>0.40133024864618538</v>
      </c>
      <c r="BG64" s="28">
        <v>0.96211473536491399</v>
      </c>
      <c r="BH64" s="28">
        <v>0.9613237064182758</v>
      </c>
      <c r="BI64" s="28">
        <v>0.2576741429132014</v>
      </c>
      <c r="BJ64" s="28">
        <v>0.25930941445450362</v>
      </c>
      <c r="BK64" s="28">
        <v>0.72428077910840505</v>
      </c>
      <c r="BL64" s="27">
        <v>1.9467592592592588E-2</v>
      </c>
      <c r="BO64">
        <v>10.40763733901068</v>
      </c>
      <c r="BP64">
        <v>10.390828239084041</v>
      </c>
      <c r="BQ64">
        <v>11.00877958436838</v>
      </c>
      <c r="BR64">
        <v>11.7980569144411</v>
      </c>
      <c r="BS64">
        <v>12.43680736833058</v>
      </c>
      <c r="BT64">
        <v>12.8702341067919</v>
      </c>
      <c r="BZ64">
        <v>8</v>
      </c>
      <c r="CA64">
        <v>9</v>
      </c>
      <c r="CB64">
        <v>10</v>
      </c>
      <c r="CC64">
        <v>12</v>
      </c>
      <c r="CD64">
        <v>14</v>
      </c>
      <c r="CE64">
        <v>16</v>
      </c>
      <c r="CF64">
        <v>17</v>
      </c>
      <c r="CG64">
        <v>19</v>
      </c>
      <c r="CH64">
        <v>20</v>
      </c>
    </row>
    <row r="65" spans="2:87" x14ac:dyDescent="0.3">
      <c r="B65" s="21" t="s">
        <v>166</v>
      </c>
      <c r="C65" s="21" t="s">
        <v>93</v>
      </c>
      <c r="D65" s="21">
        <v>19</v>
      </c>
      <c r="E65" s="21">
        <v>1.78</v>
      </c>
      <c r="F65" s="21">
        <v>68.5</v>
      </c>
      <c r="G65" s="21">
        <v>1</v>
      </c>
      <c r="H65" s="21">
        <v>5</v>
      </c>
      <c r="I65" s="21" t="s">
        <v>94</v>
      </c>
      <c r="J65" s="5">
        <v>3.0995370370370371E-2</v>
      </c>
      <c r="K65" s="21">
        <v>13.50692354418244</v>
      </c>
      <c r="L65" s="21">
        <v>52.36502908253042</v>
      </c>
      <c r="N65" s="21">
        <v>207</v>
      </c>
      <c r="O65" s="21">
        <v>19</v>
      </c>
      <c r="P65" s="21">
        <v>16</v>
      </c>
      <c r="Q65" s="21">
        <v>16</v>
      </c>
      <c r="R65" s="21">
        <v>22.07646333949468</v>
      </c>
      <c r="S65" s="21">
        <v>34.675292667898951</v>
      </c>
      <c r="T65" s="21">
        <v>752</v>
      </c>
      <c r="U65">
        <v>13.21037037037037</v>
      </c>
      <c r="V65">
        <v>14.020625000000001</v>
      </c>
      <c r="W65">
        <v>15.18702702702703</v>
      </c>
      <c r="X65">
        <v>15.949736842105271</v>
      </c>
      <c r="AF65">
        <v>2650.444103692857</v>
      </c>
      <c r="AG65">
        <v>2840.8633899468759</v>
      </c>
      <c r="AH65">
        <v>3050.8071767722231</v>
      </c>
      <c r="AI65">
        <v>3188.205117362163</v>
      </c>
      <c r="AQ65">
        <v>155.90322580645159</v>
      </c>
      <c r="AR65">
        <v>171.30303030303031</v>
      </c>
      <c r="AS65">
        <v>178.39473684210529</v>
      </c>
      <c r="AT65">
        <v>185.6</v>
      </c>
      <c r="BB65">
        <v>0.18816031164999639</v>
      </c>
      <c r="BC65">
        <v>0.46617296058489083</v>
      </c>
      <c r="BD65">
        <v>0.46532390849166372</v>
      </c>
      <c r="BE65">
        <v>0.44424090446636511</v>
      </c>
      <c r="BF65">
        <v>0.43636022695713511</v>
      </c>
      <c r="BG65" s="28">
        <v>1.0532189132074159</v>
      </c>
      <c r="BH65" s="28">
        <v>1.0515991890473491</v>
      </c>
      <c r="BI65" s="28">
        <v>0.29541658320800851</v>
      </c>
      <c r="BJ65" s="28">
        <v>0.28714038175523621</v>
      </c>
      <c r="BK65" s="28">
        <v>0.72759094887261777</v>
      </c>
      <c r="BL65" s="27">
        <v>1.8356481481481481E-2</v>
      </c>
      <c r="BM65">
        <v>20</v>
      </c>
      <c r="BN65">
        <v>12.3</v>
      </c>
      <c r="BO65">
        <v>13.372339371761299</v>
      </c>
      <c r="BP65">
        <v>14.20056339016374</v>
      </c>
      <c r="BQ65">
        <v>15.327257500713049</v>
      </c>
      <c r="BR65">
        <v>15.994874315523511</v>
      </c>
      <c r="BZ65">
        <v>10</v>
      </c>
      <c r="CA65">
        <v>11</v>
      </c>
      <c r="CB65">
        <v>13</v>
      </c>
      <c r="CC65">
        <v>15</v>
      </c>
      <c r="CD65">
        <v>17</v>
      </c>
      <c r="CE65">
        <v>19</v>
      </c>
      <c r="CF65">
        <v>19</v>
      </c>
    </row>
    <row r="66" spans="2:87" x14ac:dyDescent="0.3">
      <c r="B66" s="21" t="s">
        <v>167</v>
      </c>
      <c r="C66" s="21" t="s">
        <v>98</v>
      </c>
      <c r="D66" s="21">
        <v>30</v>
      </c>
      <c r="E66" s="21">
        <v>1.653</v>
      </c>
      <c r="F66" s="21">
        <v>54.2</v>
      </c>
      <c r="G66" s="21">
        <v>6</v>
      </c>
      <c r="H66" s="21">
        <v>56</v>
      </c>
      <c r="I66" s="21" t="s">
        <v>94</v>
      </c>
      <c r="J66" s="5">
        <v>2.7083333333333331E-2</v>
      </c>
      <c r="K66" s="21">
        <v>13.94761755676449</v>
      </c>
      <c r="L66" s="21">
        <v>52.748127149215868</v>
      </c>
      <c r="N66" s="21">
        <v>188</v>
      </c>
      <c r="O66" s="21">
        <v>19</v>
      </c>
      <c r="P66" s="21">
        <v>16</v>
      </c>
      <c r="Q66" s="21">
        <v>16</v>
      </c>
      <c r="R66" s="21">
        <v>20.157121986851809</v>
      </c>
      <c r="S66" s="21">
        <v>29.48940832724616</v>
      </c>
      <c r="T66" s="21">
        <v>747.98246895544196</v>
      </c>
      <c r="U66">
        <v>10.3056</v>
      </c>
      <c r="V66">
        <v>10.49607142857143</v>
      </c>
      <c r="W66">
        <v>11.189310344827589</v>
      </c>
      <c r="X66">
        <v>11.70892857142857</v>
      </c>
      <c r="AF66">
        <v>2102.632204666666</v>
      </c>
      <c r="AG66">
        <v>2124.7136208214279</v>
      </c>
      <c r="AH66">
        <v>2264.494547196552</v>
      </c>
      <c r="AI66">
        <v>2364.6859694928571</v>
      </c>
      <c r="AQ66">
        <v>143.61538461538461</v>
      </c>
      <c r="AR66">
        <v>152.46428571428569</v>
      </c>
      <c r="AS66">
        <v>159.12903225806451</v>
      </c>
      <c r="AT66">
        <v>166.26666666666671</v>
      </c>
      <c r="BB66">
        <v>0.1468504770488275</v>
      </c>
      <c r="BC66">
        <v>0.43098658811739049</v>
      </c>
      <c r="BD66">
        <v>0.43023592253349191</v>
      </c>
      <c r="BE66">
        <v>0.39119308685662951</v>
      </c>
      <c r="BF66">
        <v>0.39280036293341891</v>
      </c>
      <c r="BG66" s="28">
        <v>0.96136337518692017</v>
      </c>
      <c r="BH66" s="28">
        <v>0.96302929206898336</v>
      </c>
      <c r="BI66" s="28">
        <v>0.25088009085844742</v>
      </c>
      <c r="BJ66" s="28">
        <v>0.25405536383481347</v>
      </c>
      <c r="BK66" s="28">
        <v>0.69080366637204826</v>
      </c>
      <c r="BL66" s="27">
        <v>1.9872685185185181E-2</v>
      </c>
      <c r="BM66">
        <v>20</v>
      </c>
      <c r="BN66">
        <v>4.8</v>
      </c>
      <c r="BO66">
        <v>10.506456364838369</v>
      </c>
      <c r="BP66">
        <v>10.594725643309641</v>
      </c>
      <c r="BQ66">
        <v>11.30753144649921</v>
      </c>
      <c r="BR66">
        <v>11.81349103516734</v>
      </c>
      <c r="BZ66">
        <v>11</v>
      </c>
      <c r="CA66">
        <v>12</v>
      </c>
      <c r="CB66">
        <v>12</v>
      </c>
      <c r="CC66">
        <v>14</v>
      </c>
      <c r="CD66">
        <v>16</v>
      </c>
      <c r="CE66">
        <v>18</v>
      </c>
      <c r="CF66">
        <v>19</v>
      </c>
    </row>
    <row r="67" spans="2:87" x14ac:dyDescent="0.3">
      <c r="B67" s="21" t="s">
        <v>168</v>
      </c>
      <c r="C67" s="21" t="s">
        <v>93</v>
      </c>
      <c r="D67" s="21">
        <v>40</v>
      </c>
      <c r="E67" s="21">
        <v>1.8180000000000001</v>
      </c>
      <c r="F67" s="21">
        <v>61.4</v>
      </c>
      <c r="G67" s="21">
        <v>1</v>
      </c>
      <c r="H67" s="21">
        <v>5</v>
      </c>
      <c r="I67" s="21" t="s">
        <v>94</v>
      </c>
      <c r="J67" s="5">
        <v>2.777777777777778E-2</v>
      </c>
      <c r="K67" s="21">
        <v>14.36800649759291</v>
      </c>
      <c r="L67" s="21">
        <v>54.599138325624317</v>
      </c>
      <c r="N67" s="21">
        <v>193</v>
      </c>
      <c r="O67" s="21">
        <v>18</v>
      </c>
      <c r="P67" s="21">
        <v>17</v>
      </c>
      <c r="Q67" s="21">
        <v>17</v>
      </c>
      <c r="R67" s="21">
        <v>21.563861920172531</v>
      </c>
      <c r="S67" s="21">
        <v>40.173678532901832</v>
      </c>
      <c r="T67" s="21">
        <v>745.90345199568503</v>
      </c>
      <c r="U67">
        <v>12.271851851851849</v>
      </c>
      <c r="V67">
        <v>13.28709677419355</v>
      </c>
      <c r="W67">
        <v>14.40916666666666</v>
      </c>
      <c r="X67">
        <v>15.160789473684209</v>
      </c>
      <c r="Y67">
        <v>16.006341463414628</v>
      </c>
      <c r="AF67">
        <v>2418.7765239148148</v>
      </c>
      <c r="AG67">
        <v>2610.6258910000001</v>
      </c>
      <c r="AH67">
        <v>2821.6057953138888</v>
      </c>
      <c r="AI67">
        <v>2986.649157635135</v>
      </c>
      <c r="AJ67">
        <v>3109.302420363415</v>
      </c>
      <c r="AQ67">
        <v>143.78571428571431</v>
      </c>
      <c r="AR67">
        <v>153.03125</v>
      </c>
      <c r="AS67">
        <v>159.0526315789474</v>
      </c>
      <c r="AT67">
        <v>168.05128205128199</v>
      </c>
      <c r="AU67">
        <v>177.6046511627907</v>
      </c>
      <c r="BB67">
        <v>0.162654196363509</v>
      </c>
      <c r="BC67">
        <v>0.45640177361442852</v>
      </c>
      <c r="BD67">
        <v>0.45884178864254288</v>
      </c>
      <c r="BE67">
        <v>0.4276078317830847</v>
      </c>
      <c r="BF67">
        <v>0.43086074874205149</v>
      </c>
      <c r="BG67" s="28">
        <v>1.039341753602028</v>
      </c>
      <c r="BH67" s="28">
        <v>1.0459498215913769</v>
      </c>
      <c r="BI67" s="28">
        <v>0.27724916819217599</v>
      </c>
      <c r="BJ67" s="28">
        <v>0.27953519709524211</v>
      </c>
      <c r="BK67" s="28">
        <v>0.77535421240329749</v>
      </c>
      <c r="BL67" s="27">
        <v>2.222222222222222E-2</v>
      </c>
      <c r="BM67">
        <v>20</v>
      </c>
      <c r="BN67">
        <v>10.7</v>
      </c>
      <c r="BO67">
        <v>12.277132060623179</v>
      </c>
      <c r="BP67">
        <v>13.224862180906641</v>
      </c>
      <c r="BQ67">
        <v>14.345673652508379</v>
      </c>
      <c r="BR67">
        <v>15.17465570068536</v>
      </c>
      <c r="BS67">
        <v>15.857773633935119</v>
      </c>
      <c r="BZ67">
        <v>10</v>
      </c>
      <c r="CA67">
        <v>10</v>
      </c>
      <c r="CB67">
        <v>12</v>
      </c>
      <c r="CC67">
        <v>13</v>
      </c>
      <c r="CD67">
        <v>15</v>
      </c>
      <c r="CE67">
        <v>15</v>
      </c>
      <c r="CF67">
        <v>16</v>
      </c>
      <c r="CG67">
        <v>18</v>
      </c>
    </row>
    <row r="68" spans="2:87" x14ac:dyDescent="0.3">
      <c r="B68" s="21" t="s">
        <v>169</v>
      </c>
      <c r="C68" s="21" t="s">
        <v>98</v>
      </c>
      <c r="D68" s="21">
        <v>48</v>
      </c>
      <c r="E68" s="21">
        <v>1.56</v>
      </c>
      <c r="F68" s="21">
        <v>59.4</v>
      </c>
      <c r="G68" s="21">
        <v>3</v>
      </c>
      <c r="H68" s="21">
        <v>17.5</v>
      </c>
      <c r="I68" s="21" t="s">
        <v>94</v>
      </c>
      <c r="J68" s="5">
        <v>3.7499999999999999E-2</v>
      </c>
      <c r="K68" s="21">
        <v>11.79047189474127</v>
      </c>
      <c r="L68" s="21">
        <v>45.739146100561157</v>
      </c>
      <c r="N68" s="21">
        <v>184</v>
      </c>
      <c r="O68" s="21">
        <v>18</v>
      </c>
      <c r="P68" s="21">
        <v>13</v>
      </c>
      <c r="Q68" s="21">
        <v>13</v>
      </c>
      <c r="R68" s="21">
        <v>19.276327944572682</v>
      </c>
      <c r="S68" s="21">
        <v>43.070438799076207</v>
      </c>
      <c r="T68" s="21">
        <v>742</v>
      </c>
      <c r="U68">
        <v>10.502962962962959</v>
      </c>
      <c r="V68">
        <v>11.678571428571431</v>
      </c>
      <c r="AF68">
        <v>2052.1279031592589</v>
      </c>
      <c r="AG68">
        <v>2261.629680905713</v>
      </c>
      <c r="AQ68">
        <v>146.57142857142861</v>
      </c>
      <c r="AR68">
        <v>162.24324324324331</v>
      </c>
      <c r="BB68">
        <v>0.1740256517015337</v>
      </c>
      <c r="BC68">
        <v>0.39304919932851978</v>
      </c>
      <c r="BD68">
        <v>0.39050732390080578</v>
      </c>
      <c r="BE68">
        <v>0.3691815768705185</v>
      </c>
      <c r="BF68">
        <v>0.37112924463750152</v>
      </c>
      <c r="BG68" s="28">
        <v>0.90302169203758242</v>
      </c>
      <c r="BH68" s="28">
        <v>0.90402314186096189</v>
      </c>
      <c r="BI68" s="28">
        <v>0.2564320942480639</v>
      </c>
      <c r="BJ68" s="28">
        <v>0.25758924571003999</v>
      </c>
      <c r="BK68" s="28">
        <v>0.6564775830507279</v>
      </c>
      <c r="BO68">
        <v>10.487067126751519</v>
      </c>
      <c r="BP68">
        <v>11.53740175600794</v>
      </c>
      <c r="BZ68">
        <v>11</v>
      </c>
      <c r="CA68">
        <v>12</v>
      </c>
      <c r="CB68">
        <v>15</v>
      </c>
      <c r="CC68">
        <v>18</v>
      </c>
    </row>
    <row r="69" spans="2:87" x14ac:dyDescent="0.3">
      <c r="B69" s="21" t="s">
        <v>170</v>
      </c>
      <c r="C69" s="21" t="s">
        <v>98</v>
      </c>
      <c r="D69" s="21">
        <v>48</v>
      </c>
      <c r="E69" s="21">
        <v>1.627</v>
      </c>
      <c r="F69" s="21">
        <v>62.4</v>
      </c>
      <c r="G69" s="21">
        <v>3</v>
      </c>
      <c r="H69" s="21">
        <v>25</v>
      </c>
      <c r="I69" s="21" t="s">
        <v>94</v>
      </c>
      <c r="J69" s="5">
        <v>3.9548611111111111E-2</v>
      </c>
      <c r="K69" s="21">
        <v>11.657910193223289</v>
      </c>
      <c r="L69" s="21">
        <v>39.748906684081192</v>
      </c>
      <c r="N69" s="21">
        <v>188</v>
      </c>
      <c r="O69" s="21">
        <v>19</v>
      </c>
      <c r="P69" s="21">
        <v>13</v>
      </c>
      <c r="Q69" s="21">
        <v>13</v>
      </c>
      <c r="R69" s="21">
        <v>20.28024242424237</v>
      </c>
      <c r="S69" s="21">
        <v>34.955151515151513</v>
      </c>
      <c r="T69" s="21">
        <v>736.13454545454545</v>
      </c>
      <c r="U69">
        <v>9.9029629629629632</v>
      </c>
      <c r="V69">
        <v>11.077999999999999</v>
      </c>
      <c r="AF69">
        <v>1969.8912832000001</v>
      </c>
      <c r="AG69">
        <v>2202.5249268633329</v>
      </c>
      <c r="AQ69">
        <v>149.44444444444451</v>
      </c>
      <c r="AR69">
        <v>160.96875</v>
      </c>
      <c r="BB69">
        <v>0.17596863852684089</v>
      </c>
      <c r="BC69">
        <v>0.40033830018275091</v>
      </c>
      <c r="BD69">
        <v>0.40376827020744571</v>
      </c>
      <c r="BE69">
        <v>0.3560084184356509</v>
      </c>
      <c r="BF69">
        <v>0.36362968779343091</v>
      </c>
      <c r="BG69" s="28">
        <v>0.90338255959281666</v>
      </c>
      <c r="BH69" s="28">
        <v>0.90905956963538537</v>
      </c>
      <c r="BI69" s="28">
        <v>0.26451764561603291</v>
      </c>
      <c r="BJ69" s="28">
        <v>0.25993755168891047</v>
      </c>
      <c r="BK69" s="28">
        <v>0.72077893538589899</v>
      </c>
      <c r="BO69">
        <v>9.8922807549677803</v>
      </c>
      <c r="BP69">
        <v>11.11598733112713</v>
      </c>
      <c r="BZ69">
        <v>11</v>
      </c>
      <c r="CA69">
        <v>13</v>
      </c>
      <c r="CB69">
        <v>16</v>
      </c>
      <c r="CC69">
        <v>19</v>
      </c>
    </row>
    <row r="70" spans="2:87" x14ac:dyDescent="0.3">
      <c r="B70" s="21" t="s">
        <v>171</v>
      </c>
      <c r="C70" s="21" t="s">
        <v>98</v>
      </c>
      <c r="D70" s="21">
        <v>20</v>
      </c>
      <c r="E70" s="21">
        <v>1.698</v>
      </c>
      <c r="F70" s="21">
        <v>58.6</v>
      </c>
      <c r="G70" s="21">
        <v>2</v>
      </c>
      <c r="H70" s="21">
        <v>7</v>
      </c>
      <c r="I70" s="21" t="s">
        <v>94</v>
      </c>
      <c r="J70" s="5">
        <v>3.6006944444444453E-2</v>
      </c>
      <c r="K70" s="21">
        <v>11.90512226930915</v>
      </c>
      <c r="L70" s="21">
        <v>45.965537758475541</v>
      </c>
      <c r="N70" s="21">
        <v>194</v>
      </c>
      <c r="O70" s="21">
        <v>18</v>
      </c>
      <c r="P70" s="21">
        <v>13</v>
      </c>
      <c r="Q70" s="21">
        <v>13</v>
      </c>
      <c r="R70" s="21">
        <v>23.33761118170278</v>
      </c>
      <c r="S70" s="21">
        <v>38.083862770012708</v>
      </c>
      <c r="T70" s="21">
        <v>738</v>
      </c>
      <c r="U70">
        <v>11.114230769230771</v>
      </c>
      <c r="V70">
        <v>12.2225</v>
      </c>
      <c r="AF70">
        <v>2217.5762741692301</v>
      </c>
      <c r="AG70">
        <v>2437.102806603571</v>
      </c>
      <c r="AQ70">
        <v>158.2962962962963</v>
      </c>
      <c r="AR70">
        <v>171.76666666666671</v>
      </c>
      <c r="BB70">
        <v>0.14770080599240901</v>
      </c>
      <c r="BC70">
        <v>0.43054334707140812</v>
      </c>
      <c r="BD70">
        <v>0.43415675519783709</v>
      </c>
      <c r="BE70">
        <v>0.41495538997020781</v>
      </c>
      <c r="BF70">
        <v>0.40763879612805309</v>
      </c>
      <c r="BG70" s="28">
        <v>0.98063644270102179</v>
      </c>
      <c r="BH70" s="28">
        <v>0.97686603168646491</v>
      </c>
      <c r="BI70" s="28">
        <v>0.268595021398915</v>
      </c>
      <c r="BJ70" s="28">
        <v>0.27075646675301979</v>
      </c>
      <c r="BK70" s="28">
        <v>0.7192487628062566</v>
      </c>
      <c r="BL70" s="27">
        <v>7.3379629629629628E-3</v>
      </c>
      <c r="BM70">
        <v>20</v>
      </c>
      <c r="BN70">
        <v>9.1</v>
      </c>
      <c r="BO70">
        <v>11.14747374146755</v>
      </c>
      <c r="BP70">
        <v>12.261911083832199</v>
      </c>
      <c r="BZ70">
        <v>11</v>
      </c>
      <c r="CA70">
        <v>13</v>
      </c>
      <c r="CB70">
        <v>15</v>
      </c>
      <c r="CC70">
        <v>18</v>
      </c>
    </row>
    <row r="71" spans="2:87" x14ac:dyDescent="0.3">
      <c r="B71" s="21" t="s">
        <v>172</v>
      </c>
      <c r="C71" s="21" t="s">
        <v>98</v>
      </c>
      <c r="D71" s="21">
        <v>40</v>
      </c>
      <c r="E71" s="21">
        <v>1.796</v>
      </c>
      <c r="F71" s="21">
        <v>64.900000000000006</v>
      </c>
      <c r="G71" s="21">
        <v>3</v>
      </c>
      <c r="H71" s="21">
        <v>25</v>
      </c>
      <c r="I71" s="21" t="s">
        <v>94</v>
      </c>
      <c r="J71" s="5">
        <v>3.2175925925925927E-2</v>
      </c>
      <c r="K71" s="21">
        <v>12.448094176190491</v>
      </c>
      <c r="L71" s="21">
        <v>45.171946637596299</v>
      </c>
      <c r="N71" s="21">
        <v>183</v>
      </c>
      <c r="O71" s="21">
        <v>18</v>
      </c>
      <c r="P71" s="21">
        <v>14</v>
      </c>
      <c r="Q71" s="21">
        <v>14</v>
      </c>
      <c r="R71" s="21">
        <v>20.830632630410719</v>
      </c>
      <c r="S71" s="21">
        <v>31.553829078801328</v>
      </c>
      <c r="T71" s="21">
        <v>729</v>
      </c>
      <c r="U71">
        <v>10.932380952380949</v>
      </c>
      <c r="V71">
        <v>12.07958333333333</v>
      </c>
      <c r="W71">
        <v>12.84038461538462</v>
      </c>
      <c r="AF71">
        <v>2238.0305457142858</v>
      </c>
      <c r="AG71">
        <v>2473.0211640954549</v>
      </c>
      <c r="AH71">
        <v>2590.1935279192312</v>
      </c>
      <c r="AQ71">
        <v>151.31818181818181</v>
      </c>
      <c r="AR71">
        <v>163.66666666666671</v>
      </c>
      <c r="AS71">
        <v>171.2592592592593</v>
      </c>
      <c r="BB71">
        <v>0.18327947743141071</v>
      </c>
      <c r="BC71">
        <v>0.46239963830106612</v>
      </c>
      <c r="BD71">
        <v>0.46007358816817112</v>
      </c>
      <c r="BE71">
        <v>0.40776102775223649</v>
      </c>
      <c r="BF71">
        <v>0.41569884765264148</v>
      </c>
      <c r="BG71" s="28">
        <v>1.0230306888222691</v>
      </c>
      <c r="BH71" s="28">
        <v>1.030601416707039</v>
      </c>
      <c r="BI71" s="28">
        <v>0.27600811458240548</v>
      </c>
      <c r="BJ71" s="28">
        <v>0.27605000170473459</v>
      </c>
      <c r="BK71" s="28">
        <v>0.76918394723534589</v>
      </c>
      <c r="BL71" s="27">
        <v>1.037037037037037E-2</v>
      </c>
      <c r="BM71">
        <v>20</v>
      </c>
      <c r="BN71">
        <v>5.8</v>
      </c>
      <c r="BO71">
        <v>11.09345476469308</v>
      </c>
      <c r="BP71">
        <v>12.307493941265459</v>
      </c>
      <c r="BQ71">
        <v>12.947414247224399</v>
      </c>
      <c r="BZ71">
        <v>10</v>
      </c>
      <c r="CA71">
        <v>12</v>
      </c>
      <c r="CB71">
        <v>13</v>
      </c>
      <c r="CC71">
        <v>15</v>
      </c>
      <c r="CD71">
        <v>18</v>
      </c>
    </row>
    <row r="72" spans="2:87" x14ac:dyDescent="0.3">
      <c r="B72" s="21" t="s">
        <v>173</v>
      </c>
      <c r="C72" s="21" t="s">
        <v>98</v>
      </c>
      <c r="D72" s="21">
        <v>22</v>
      </c>
      <c r="E72" s="21">
        <v>1.6579999999999999</v>
      </c>
      <c r="F72" s="21">
        <v>52.7</v>
      </c>
      <c r="G72" s="21">
        <v>6</v>
      </c>
      <c r="H72" s="21">
        <v>75</v>
      </c>
      <c r="I72" s="21" t="s">
        <v>174</v>
      </c>
      <c r="J72" s="5">
        <v>2.465277777777778E-2</v>
      </c>
      <c r="K72" s="21">
        <v>14.873565879999999</v>
      </c>
      <c r="L72" s="21">
        <v>54.03572569</v>
      </c>
      <c r="N72" s="21">
        <v>176</v>
      </c>
      <c r="O72" s="21">
        <v>19</v>
      </c>
      <c r="P72" s="21">
        <v>17</v>
      </c>
      <c r="Q72" s="21">
        <v>17</v>
      </c>
      <c r="R72" s="21">
        <v>21.21333718</v>
      </c>
      <c r="S72" s="21">
        <v>26.946882219999999</v>
      </c>
      <c r="T72" s="21">
        <v>732.68879909999998</v>
      </c>
      <c r="U72">
        <v>8.187931034</v>
      </c>
      <c r="V72">
        <v>8.7669999999999995</v>
      </c>
      <c r="W72">
        <v>9.2335294119999993</v>
      </c>
      <c r="X72">
        <v>10.34342105</v>
      </c>
      <c r="Y72">
        <v>11.74564103</v>
      </c>
      <c r="AF72">
        <v>1669.529491</v>
      </c>
      <c r="AG72">
        <v>1734.7491930000001</v>
      </c>
      <c r="AH72">
        <v>1820.7105770000001</v>
      </c>
      <c r="AI72">
        <v>2039.043222</v>
      </c>
      <c r="AJ72">
        <v>2310.9626739999999</v>
      </c>
      <c r="AQ72">
        <v>112.6875</v>
      </c>
      <c r="AR72">
        <v>119.1875</v>
      </c>
      <c r="AS72">
        <v>129.74285710000001</v>
      </c>
      <c r="AT72">
        <v>138.64102560000001</v>
      </c>
      <c r="AU72">
        <v>148.375</v>
      </c>
      <c r="BB72">
        <v>0.15634702788406171</v>
      </c>
      <c r="BC72">
        <v>0.41287899688247742</v>
      </c>
      <c r="BD72">
        <v>0.41789566096583503</v>
      </c>
      <c r="BE72">
        <v>0.3851607643740621</v>
      </c>
      <c r="BF72">
        <v>0.37706165796614322</v>
      </c>
      <c r="BG72" s="28">
        <v>0.9380176551342011</v>
      </c>
      <c r="BH72" s="28">
        <v>0.93547347158193583</v>
      </c>
      <c r="BI72" s="28">
        <v>0.2639997901594805</v>
      </c>
      <c r="BJ72" s="28">
        <v>0.25969884310789582</v>
      </c>
      <c r="BK72" s="28">
        <v>0.72125443664193145</v>
      </c>
      <c r="BL72" s="27">
        <v>1.7060185185185189E-2</v>
      </c>
      <c r="BM72">
        <v>19</v>
      </c>
      <c r="BN72">
        <v>8</v>
      </c>
      <c r="BO72">
        <v>8.0381642841105858</v>
      </c>
      <c r="BP72">
        <v>8.7355395141285825</v>
      </c>
      <c r="BQ72">
        <v>9.2172262549141504</v>
      </c>
      <c r="BR72">
        <v>10.305996093366719</v>
      </c>
      <c r="BS72">
        <v>11.697183563451279</v>
      </c>
      <c r="BZ72">
        <v>7</v>
      </c>
      <c r="CA72">
        <v>9</v>
      </c>
      <c r="CB72">
        <v>11</v>
      </c>
      <c r="CC72">
        <v>14</v>
      </c>
      <c r="CD72">
        <v>14</v>
      </c>
      <c r="CE72">
        <v>15</v>
      </c>
      <c r="CF72">
        <v>17</v>
      </c>
      <c r="CG72">
        <v>19</v>
      </c>
    </row>
    <row r="73" spans="2:87" x14ac:dyDescent="0.3">
      <c r="B73" s="21" t="s">
        <v>175</v>
      </c>
      <c r="C73" s="21" t="s">
        <v>98</v>
      </c>
      <c r="D73" s="21">
        <v>34</v>
      </c>
      <c r="E73" s="21">
        <v>1.595</v>
      </c>
      <c r="F73" s="21">
        <v>54</v>
      </c>
      <c r="G73" s="21">
        <v>6</v>
      </c>
      <c r="H73" s="21">
        <v>50</v>
      </c>
      <c r="I73" s="21" t="s">
        <v>94</v>
      </c>
      <c r="J73" s="5">
        <v>3.0555555555555551E-2</v>
      </c>
      <c r="K73" s="21">
        <v>13.087596002957021</v>
      </c>
      <c r="L73" s="21">
        <v>51.906033121481478</v>
      </c>
      <c r="N73" s="21">
        <v>190</v>
      </c>
      <c r="O73" s="21">
        <v>20</v>
      </c>
      <c r="P73" s="21">
        <v>15</v>
      </c>
      <c r="Q73" s="21">
        <v>15</v>
      </c>
      <c r="R73" s="21">
        <v>22.757042869641339</v>
      </c>
      <c r="S73" s="21">
        <v>43.610673665791779</v>
      </c>
      <c r="T73" s="21">
        <v>753</v>
      </c>
      <c r="U73">
        <v>11.835000000000001</v>
      </c>
      <c r="V73">
        <v>12.25</v>
      </c>
      <c r="W73">
        <v>12.66333333333333</v>
      </c>
      <c r="X73">
        <v>13.699696969696969</v>
      </c>
      <c r="AF73">
        <v>2371.6012965999989</v>
      </c>
      <c r="AG73">
        <v>2425.339123037932</v>
      </c>
      <c r="AH73">
        <v>2488.2142815878792</v>
      </c>
      <c r="AI73">
        <v>2661.754969751516</v>
      </c>
      <c r="AQ73">
        <v>150.61538461538461</v>
      </c>
      <c r="AR73">
        <v>163.67741935483869</v>
      </c>
      <c r="AS73">
        <v>172.5588235294118</v>
      </c>
      <c r="AT73">
        <v>179.79411764705881</v>
      </c>
      <c r="BB73">
        <v>0.13701500277157719</v>
      </c>
      <c r="BC73">
        <v>0.4211605530820744</v>
      </c>
      <c r="BD73">
        <v>0.42437460794305781</v>
      </c>
      <c r="BE73">
        <v>0.37174846934931188</v>
      </c>
      <c r="BF73">
        <v>0.36896127504056581</v>
      </c>
      <c r="BG73" s="28">
        <v>0.92805202454328539</v>
      </c>
      <c r="BH73" s="28">
        <v>0.92535097131133082</v>
      </c>
      <c r="BI73" s="28">
        <v>0.25020431532132259</v>
      </c>
      <c r="BJ73" s="28">
        <v>0.25033980472261619</v>
      </c>
      <c r="BK73" s="28">
        <v>0.66829850207269192</v>
      </c>
      <c r="BL73" s="27">
        <v>1.037037037037037E-2</v>
      </c>
      <c r="BM73">
        <v>20</v>
      </c>
      <c r="BN73">
        <v>10.1</v>
      </c>
      <c r="BO73">
        <v>11.88684972680225</v>
      </c>
      <c r="BP73">
        <v>12.21172251039401</v>
      </c>
      <c r="BQ73">
        <v>12.57581990174808</v>
      </c>
      <c r="BR73">
        <v>13.556757981341571</v>
      </c>
      <c r="BZ73">
        <v>7</v>
      </c>
      <c r="CA73">
        <v>10</v>
      </c>
      <c r="CB73">
        <v>11</v>
      </c>
      <c r="CC73">
        <v>13</v>
      </c>
      <c r="CD73">
        <v>17</v>
      </c>
      <c r="CE73">
        <v>20</v>
      </c>
    </row>
    <row r="74" spans="2:87" x14ac:dyDescent="0.3">
      <c r="B74" s="21" t="s">
        <v>176</v>
      </c>
      <c r="C74" s="21" t="s">
        <v>93</v>
      </c>
      <c r="D74" s="21">
        <v>28</v>
      </c>
      <c r="E74" s="21">
        <v>1.7649999999999999</v>
      </c>
      <c r="F74" s="21">
        <v>78.3</v>
      </c>
      <c r="G74" s="21">
        <v>2</v>
      </c>
      <c r="H74" s="21">
        <v>15</v>
      </c>
      <c r="I74" s="21" t="s">
        <v>94</v>
      </c>
      <c r="J74" s="5">
        <v>3.0555555555555551E-2</v>
      </c>
      <c r="K74" s="21">
        <v>14.525693892775219</v>
      </c>
      <c r="L74" s="21">
        <v>60.131883598807988</v>
      </c>
      <c r="N74" s="21">
        <v>187</v>
      </c>
      <c r="O74" s="21">
        <v>20</v>
      </c>
      <c r="P74" s="21">
        <v>17</v>
      </c>
      <c r="Q74" s="21">
        <v>17</v>
      </c>
      <c r="R74" s="21">
        <v>22.288151221761009</v>
      </c>
      <c r="S74" s="21">
        <v>43.449976947902258</v>
      </c>
      <c r="T74" s="21">
        <v>753</v>
      </c>
      <c r="U74">
        <v>14.1965</v>
      </c>
      <c r="V74">
        <v>15.93933333333333</v>
      </c>
      <c r="W74">
        <v>16.5991111111111</v>
      </c>
      <c r="X74">
        <v>17.615111111111119</v>
      </c>
      <c r="Y74">
        <v>19.347446808510639</v>
      </c>
      <c r="AF74">
        <v>2842.4939924575001</v>
      </c>
      <c r="AG74">
        <v>3176.891818466665</v>
      </c>
      <c r="AH74">
        <v>3314.5613738866659</v>
      </c>
      <c r="AI74">
        <v>3511.5899535133331</v>
      </c>
      <c r="AJ74">
        <v>3816.3368362638321</v>
      </c>
      <c r="AQ74">
        <v>113.72727272727271</v>
      </c>
      <c r="AR74">
        <v>126.3695652173913</v>
      </c>
      <c r="AS74">
        <v>141.5106382978723</v>
      </c>
      <c r="AT74">
        <v>154.531914893617</v>
      </c>
      <c r="AU74">
        <v>163.27083333333329</v>
      </c>
      <c r="BB74">
        <v>0.1617435485760271</v>
      </c>
      <c r="BC74">
        <v>0.43657357241222228</v>
      </c>
      <c r="BD74">
        <v>0.43726369569973578</v>
      </c>
      <c r="BE74">
        <v>0.40388666760012037</v>
      </c>
      <c r="BF74">
        <v>0.40397469224005322</v>
      </c>
      <c r="BG74" s="28">
        <v>0.98920202457904816</v>
      </c>
      <c r="BH74" s="28">
        <v>0.98847833558917042</v>
      </c>
      <c r="BI74" s="28">
        <v>0.28349505959434679</v>
      </c>
      <c r="BJ74" s="28">
        <v>0.2841938823948213</v>
      </c>
      <c r="BK74" s="28">
        <v>0.77615981991589056</v>
      </c>
      <c r="BL74" s="27">
        <v>1.6122685185185181E-2</v>
      </c>
      <c r="BM74">
        <v>20</v>
      </c>
      <c r="BN74">
        <v>5.6</v>
      </c>
      <c r="BO74">
        <v>14.278450802724199</v>
      </c>
      <c r="BP74">
        <v>15.93110962799657</v>
      </c>
      <c r="BQ74">
        <v>16.67613614352631</v>
      </c>
      <c r="BR74">
        <v>17.684528953952899</v>
      </c>
      <c r="BS74">
        <v>19.303357963136989</v>
      </c>
      <c r="BZ74">
        <v>8</v>
      </c>
      <c r="CA74">
        <v>11</v>
      </c>
      <c r="CB74">
        <v>12</v>
      </c>
      <c r="CC74">
        <v>14</v>
      </c>
      <c r="CD74">
        <v>15</v>
      </c>
      <c r="CE74">
        <v>17</v>
      </c>
      <c r="CF74">
        <v>19</v>
      </c>
      <c r="CG74">
        <v>20</v>
      </c>
      <c r="CH74">
        <v>20</v>
      </c>
    </row>
    <row r="75" spans="2:87" x14ac:dyDescent="0.3">
      <c r="B75" s="21" t="s">
        <v>177</v>
      </c>
      <c r="C75" s="21" t="s">
        <v>98</v>
      </c>
      <c r="D75" s="21">
        <v>25</v>
      </c>
      <c r="E75" s="21">
        <v>1.71</v>
      </c>
      <c r="F75" s="21">
        <v>58.3</v>
      </c>
      <c r="G75" s="21">
        <v>5</v>
      </c>
      <c r="H75" s="21">
        <v>30</v>
      </c>
      <c r="I75" s="21" t="s">
        <v>178</v>
      </c>
      <c r="J75" s="5">
        <v>3.4027777777777768E-2</v>
      </c>
      <c r="K75" s="21">
        <v>13.264682646570719</v>
      </c>
      <c r="L75" s="21">
        <v>51.609126437164093</v>
      </c>
      <c r="N75" s="21">
        <v>187</v>
      </c>
      <c r="O75" s="21">
        <v>17</v>
      </c>
      <c r="P75" s="21">
        <v>15</v>
      </c>
      <c r="Q75" s="21">
        <v>15</v>
      </c>
      <c r="R75" s="21">
        <v>23.064401622718151</v>
      </c>
      <c r="S75" s="21">
        <v>41.135902636916839</v>
      </c>
      <c r="T75" s="21">
        <v>754</v>
      </c>
      <c r="U75">
        <v>9.9111764705882344</v>
      </c>
      <c r="V75">
        <v>10.830500000000001</v>
      </c>
      <c r="W75">
        <v>11.39521739130435</v>
      </c>
      <c r="X75">
        <v>12.49653846153846</v>
      </c>
      <c r="AF75">
        <v>2011.0071433235289</v>
      </c>
      <c r="AG75">
        <v>2165.86032398</v>
      </c>
      <c r="AH75">
        <v>2271.7367534173909</v>
      </c>
      <c r="AI75">
        <v>2462.7092648923081</v>
      </c>
      <c r="AQ75">
        <v>140.33333333333329</v>
      </c>
      <c r="AR75">
        <v>153.90909090909091</v>
      </c>
      <c r="AS75">
        <v>163.16666666666671</v>
      </c>
      <c r="AT75">
        <v>171.81481481481481</v>
      </c>
      <c r="BB75">
        <v>0.16084297390936159</v>
      </c>
      <c r="BC75">
        <v>0.43973753721540149</v>
      </c>
      <c r="BD75">
        <v>0.44536395220324132</v>
      </c>
      <c r="BE75">
        <v>0.39161573461269589</v>
      </c>
      <c r="BF75">
        <v>0.38870053554738088</v>
      </c>
      <c r="BG75" s="28">
        <v>0.97125096357352025</v>
      </c>
      <c r="BH75" s="28">
        <v>0.97453801021785347</v>
      </c>
      <c r="BI75" s="28">
        <v>0.26908536034964198</v>
      </c>
      <c r="BJ75" s="28">
        <v>0.26850492089625849</v>
      </c>
      <c r="BK75" s="28">
        <v>0.73710551310431316</v>
      </c>
      <c r="BL75" s="27">
        <v>9.9421296296296289E-3</v>
      </c>
      <c r="BM75">
        <v>20</v>
      </c>
      <c r="BN75">
        <v>5.4</v>
      </c>
      <c r="BO75">
        <v>10.068134187653699</v>
      </c>
      <c r="BP75">
        <v>10.926782299431849</v>
      </c>
      <c r="BQ75">
        <v>11.41215794832606</v>
      </c>
      <c r="BR75">
        <v>12.478664580994099</v>
      </c>
      <c r="BZ75">
        <v>8</v>
      </c>
      <c r="CA75">
        <v>10</v>
      </c>
      <c r="CB75">
        <v>12</v>
      </c>
      <c r="CC75">
        <v>13</v>
      </c>
      <c r="CD75">
        <v>15</v>
      </c>
      <c r="CE75">
        <v>17</v>
      </c>
      <c r="CF75">
        <v>20</v>
      </c>
    </row>
    <row r="76" spans="2:87" x14ac:dyDescent="0.3">
      <c r="B76" s="21" t="s">
        <v>179</v>
      </c>
      <c r="C76" s="21" t="s">
        <v>93</v>
      </c>
      <c r="D76" s="21">
        <v>42</v>
      </c>
      <c r="E76" s="21">
        <v>1.7849999999999999</v>
      </c>
      <c r="F76" s="21">
        <v>77.900000000000006</v>
      </c>
      <c r="G76" s="21">
        <v>3</v>
      </c>
      <c r="H76" s="21">
        <v>15</v>
      </c>
      <c r="I76" s="21" t="s">
        <v>94</v>
      </c>
      <c r="J76" s="5">
        <v>3.125E-2</v>
      </c>
      <c r="K76" s="21">
        <v>13.149918901853439</v>
      </c>
      <c r="L76" s="21">
        <v>48.355033124689768</v>
      </c>
      <c r="N76" s="21" t="s">
        <v>180</v>
      </c>
      <c r="O76" s="21">
        <v>18</v>
      </c>
      <c r="P76" s="21">
        <v>15</v>
      </c>
      <c r="Q76" s="21">
        <v>15</v>
      </c>
      <c r="R76" s="21">
        <v>21.81943430656959</v>
      </c>
      <c r="S76" s="21">
        <v>45.419708029197082</v>
      </c>
      <c r="T76" s="21">
        <v>756</v>
      </c>
      <c r="U76">
        <v>13.095599999999999</v>
      </c>
      <c r="V76">
        <v>13.946206896551731</v>
      </c>
      <c r="W76">
        <v>15.065</v>
      </c>
      <c r="X76">
        <v>16.578181818181822</v>
      </c>
      <c r="AF76">
        <v>2637.77578976</v>
      </c>
      <c r="AG76">
        <v>2790.4813754689658</v>
      </c>
      <c r="AH76">
        <v>3006.4871320799998</v>
      </c>
      <c r="AI76">
        <v>3279.3363549969699</v>
      </c>
      <c r="AQ76">
        <v>135.7307692307692</v>
      </c>
      <c r="AR76">
        <v>148.80000000000001</v>
      </c>
      <c r="AS76">
        <v>155.46875</v>
      </c>
      <c r="AT76">
        <v>165.28571428571431</v>
      </c>
      <c r="BB76">
        <v>0.1850016382346531</v>
      </c>
      <c r="BC76">
        <v>0.4379536720787845</v>
      </c>
      <c r="BD76">
        <v>0.44739690743916422</v>
      </c>
      <c r="BE76">
        <v>0.4174813400921471</v>
      </c>
      <c r="BF76">
        <v>0.40511923246770432</v>
      </c>
      <c r="BG76" s="28">
        <v>1.0026722114682201</v>
      </c>
      <c r="BH76" s="28">
        <v>0.99768530401587485</v>
      </c>
      <c r="BI76" s="28">
        <v>0.27961288817308888</v>
      </c>
      <c r="BJ76" s="28">
        <v>0.28146853250795473</v>
      </c>
      <c r="BK76" s="28">
        <v>0.78482124225795258</v>
      </c>
      <c r="BL76" s="27">
        <v>1.2280092592592591E-2</v>
      </c>
      <c r="BM76">
        <v>19</v>
      </c>
      <c r="BN76">
        <v>5.5</v>
      </c>
      <c r="BO76">
        <v>13.11629490080284</v>
      </c>
      <c r="BP76">
        <v>13.92413317850397</v>
      </c>
      <c r="BQ76">
        <v>15.07860882899301</v>
      </c>
      <c r="BR76">
        <v>16.557798099947188</v>
      </c>
      <c r="BZ76">
        <v>11</v>
      </c>
      <c r="CA76">
        <v>12</v>
      </c>
      <c r="CB76">
        <v>13</v>
      </c>
      <c r="CC76">
        <v>15</v>
      </c>
      <c r="CD76">
        <v>17</v>
      </c>
      <c r="CE76">
        <v>18</v>
      </c>
      <c r="CF76">
        <v>20</v>
      </c>
    </row>
    <row r="77" spans="2:87" x14ac:dyDescent="0.3">
      <c r="B77" s="21" t="s">
        <v>181</v>
      </c>
      <c r="C77" s="21" t="s">
        <v>93</v>
      </c>
      <c r="D77" s="21">
        <v>46</v>
      </c>
      <c r="E77" s="21">
        <v>1.762</v>
      </c>
      <c r="F77" s="21">
        <v>85.9</v>
      </c>
      <c r="G77" s="21">
        <v>6</v>
      </c>
      <c r="H77" s="21">
        <v>51.2</v>
      </c>
      <c r="I77" s="21" t="s">
        <v>94</v>
      </c>
      <c r="J77" s="5">
        <v>2.9166666666666671E-2</v>
      </c>
      <c r="K77" s="21">
        <v>13.092523479623919</v>
      </c>
      <c r="L77" s="21">
        <v>46.532903878540928</v>
      </c>
      <c r="N77" s="21">
        <v>175</v>
      </c>
      <c r="O77" s="21">
        <v>20</v>
      </c>
      <c r="P77" s="21">
        <v>15</v>
      </c>
      <c r="Q77" s="21">
        <v>16</v>
      </c>
      <c r="R77" s="21">
        <v>21.53280521901214</v>
      </c>
      <c r="S77" s="21">
        <v>43.491146318732532</v>
      </c>
      <c r="T77" s="21">
        <v>757</v>
      </c>
      <c r="U77">
        <v>13.43541666666667</v>
      </c>
      <c r="V77">
        <v>14.404400000000001</v>
      </c>
      <c r="W77">
        <v>15.40814814814815</v>
      </c>
      <c r="X77">
        <v>17.02178571428572</v>
      </c>
      <c r="AF77">
        <v>2723.4952172708331</v>
      </c>
      <c r="AG77">
        <v>2906.6909992720002</v>
      </c>
      <c r="AH77">
        <v>3090.0681164925918</v>
      </c>
      <c r="AI77">
        <v>3373.2892380678559</v>
      </c>
      <c r="AQ77">
        <v>126.9615384615385</v>
      </c>
      <c r="AR77">
        <v>135.55555555555549</v>
      </c>
      <c r="AS77">
        <v>144.93103448275861</v>
      </c>
      <c r="AT77">
        <v>153.48275862068971</v>
      </c>
      <c r="BB77">
        <v>0.18324056971553479</v>
      </c>
      <c r="BC77">
        <v>0.41615293946724402</v>
      </c>
      <c r="BD77">
        <v>0.41867562827712329</v>
      </c>
      <c r="BE77">
        <v>0.41932223128864199</v>
      </c>
      <c r="BF77">
        <v>0.41465688430194131</v>
      </c>
      <c r="BG77" s="28">
        <v>0.99032171919941903</v>
      </c>
      <c r="BH77" s="28">
        <v>0.98763214489817619</v>
      </c>
      <c r="BI77" s="28">
        <v>0.2850758310655509</v>
      </c>
      <c r="BJ77" s="28">
        <v>0.28264943926495928</v>
      </c>
      <c r="BK77" s="28">
        <v>0.77302306795120246</v>
      </c>
      <c r="BO77">
        <v>13.58357418592133</v>
      </c>
      <c r="BP77">
        <v>14.489249489050311</v>
      </c>
      <c r="BQ77">
        <v>15.509067268988741</v>
      </c>
      <c r="BR77">
        <v>17.024054036102608</v>
      </c>
      <c r="BZ77">
        <v>7</v>
      </c>
      <c r="CA77">
        <v>8</v>
      </c>
      <c r="CB77">
        <v>10</v>
      </c>
      <c r="CC77">
        <v>12</v>
      </c>
      <c r="CD77">
        <v>14</v>
      </c>
      <c r="CE77">
        <v>17</v>
      </c>
      <c r="CF77">
        <v>20</v>
      </c>
    </row>
    <row r="78" spans="2:87" x14ac:dyDescent="0.3">
      <c r="B78" s="21" t="s">
        <v>182</v>
      </c>
      <c r="C78" s="21" t="s">
        <v>98</v>
      </c>
      <c r="D78" s="21">
        <v>34</v>
      </c>
      <c r="E78" s="21">
        <v>1.5960000000000001</v>
      </c>
      <c r="F78" s="21">
        <v>61</v>
      </c>
      <c r="G78" s="21">
        <v>2</v>
      </c>
      <c r="H78" s="21">
        <v>16</v>
      </c>
      <c r="I78" s="21" t="s">
        <v>94</v>
      </c>
      <c r="J78" s="5">
        <v>3.4722222222222217E-2</v>
      </c>
      <c r="K78" s="21">
        <v>11.76226169368713</v>
      </c>
      <c r="L78" s="21">
        <v>41.428787319672132</v>
      </c>
      <c r="N78" s="21">
        <v>191</v>
      </c>
      <c r="O78" s="21">
        <v>20</v>
      </c>
      <c r="P78" s="21">
        <v>13</v>
      </c>
      <c r="Q78" s="21">
        <v>14</v>
      </c>
      <c r="R78" s="21">
        <v>19.85478672985785</v>
      </c>
      <c r="S78" s="21">
        <v>24.80473933649289</v>
      </c>
      <c r="T78" s="21">
        <v>765</v>
      </c>
      <c r="V78">
        <v>11.46297297297297</v>
      </c>
      <c r="AG78">
        <v>2259.7003384162158</v>
      </c>
      <c r="AR78">
        <v>166.5128205128205</v>
      </c>
      <c r="BB78">
        <v>0.1663516128561579</v>
      </c>
      <c r="BC78">
        <v>0.4034192248239607</v>
      </c>
      <c r="BD78">
        <v>0.39730648830353349</v>
      </c>
      <c r="BE78">
        <v>0.35224848664785108</v>
      </c>
      <c r="BF78">
        <v>0.35237783089217972</v>
      </c>
      <c r="BG78" s="28">
        <v>0.89056970271826774</v>
      </c>
      <c r="BH78" s="28">
        <v>0.88185476094360671</v>
      </c>
      <c r="BI78" s="28">
        <v>0.2444340110975772</v>
      </c>
      <c r="BJ78" s="28">
        <v>0.24888178952190909</v>
      </c>
      <c r="BK78" s="28">
        <v>0.70978776816906286</v>
      </c>
      <c r="BL78" s="27">
        <v>7.6041666666666671E-3</v>
      </c>
      <c r="BM78">
        <v>20</v>
      </c>
      <c r="BN78">
        <v>8.4</v>
      </c>
      <c r="BP78">
        <v>11.431805253238551</v>
      </c>
      <c r="BZ78">
        <v>10</v>
      </c>
      <c r="CA78">
        <v>11</v>
      </c>
      <c r="CB78">
        <v>13</v>
      </c>
      <c r="CC78">
        <v>15</v>
      </c>
      <c r="CD78">
        <v>20</v>
      </c>
    </row>
    <row r="79" spans="2:87" x14ac:dyDescent="0.3">
      <c r="B79" s="21" t="s">
        <v>183</v>
      </c>
      <c r="C79" s="21" t="s">
        <v>93</v>
      </c>
      <c r="D79" s="21">
        <v>38</v>
      </c>
      <c r="E79" s="21">
        <v>1.758</v>
      </c>
      <c r="F79" s="21">
        <v>65.5</v>
      </c>
      <c r="G79" s="21">
        <v>6</v>
      </c>
      <c r="H79" s="21">
        <v>90</v>
      </c>
      <c r="I79" s="21" t="s">
        <v>184</v>
      </c>
      <c r="J79" s="5">
        <v>2.361111111111111E-2</v>
      </c>
      <c r="K79" s="21">
        <v>15.993107220933229</v>
      </c>
      <c r="L79" s="21">
        <v>53.520329982798977</v>
      </c>
      <c r="N79" s="21">
        <v>166</v>
      </c>
      <c r="O79" s="21">
        <v>19</v>
      </c>
      <c r="P79" s="21">
        <v>18</v>
      </c>
      <c r="Q79" s="21">
        <v>18</v>
      </c>
      <c r="R79" s="21">
        <v>20.5638327853456</v>
      </c>
      <c r="S79" s="21">
        <v>30.516674495068109</v>
      </c>
      <c r="T79" s="21">
        <v>762</v>
      </c>
      <c r="U79">
        <v>10.141515151515151</v>
      </c>
      <c r="V79">
        <v>10.885789473684209</v>
      </c>
      <c r="W79">
        <v>11.379090909090911</v>
      </c>
      <c r="X79">
        <v>12.02875</v>
      </c>
      <c r="Y79">
        <v>13.22130434782609</v>
      </c>
      <c r="Z79">
        <v>14.1234</v>
      </c>
      <c r="AF79">
        <v>2086.194392560606</v>
      </c>
      <c r="AG79">
        <v>2217.0821988078942</v>
      </c>
      <c r="AH79">
        <v>2310.153010286364</v>
      </c>
      <c r="AI79">
        <v>2428.8110699062499</v>
      </c>
      <c r="AJ79">
        <v>2670.3887341152172</v>
      </c>
      <c r="AK79">
        <v>2832.6749595360002</v>
      </c>
      <c r="AQ79">
        <v>106.9142857142857</v>
      </c>
      <c r="AR79">
        <v>111</v>
      </c>
      <c r="AS79">
        <v>115.10869565217391</v>
      </c>
      <c r="AT79">
        <v>124.18</v>
      </c>
      <c r="AU79">
        <v>132.4375</v>
      </c>
      <c r="AV79">
        <v>140.55769230769229</v>
      </c>
      <c r="BB79">
        <v>0.18006830623649869</v>
      </c>
      <c r="BC79">
        <v>0.43484774457563941</v>
      </c>
      <c r="BD79">
        <v>0.4318808665302365</v>
      </c>
      <c r="BE79">
        <v>0.40743646526959848</v>
      </c>
      <c r="BF79">
        <v>0.41327096665147078</v>
      </c>
      <c r="BG79" s="28">
        <v>0.99585460981726648</v>
      </c>
      <c r="BH79" s="28">
        <v>0.99901257497072216</v>
      </c>
      <c r="BI79" s="28">
        <v>0.29616083407037669</v>
      </c>
      <c r="BJ79" s="28">
        <v>0.28960864657194457</v>
      </c>
      <c r="BK79" s="28">
        <v>0.76056640760600569</v>
      </c>
      <c r="BM79">
        <v>20</v>
      </c>
      <c r="BN79">
        <v>5.4</v>
      </c>
      <c r="BO79">
        <v>10.342381392211919</v>
      </c>
      <c r="BP79">
        <v>11.046470836353009</v>
      </c>
      <c r="BQ79">
        <v>11.50128497121597</v>
      </c>
      <c r="BR79">
        <v>12.15518219022308</v>
      </c>
      <c r="BS79">
        <v>13.33749291500621</v>
      </c>
      <c r="BT79">
        <v>14.222502646306401</v>
      </c>
      <c r="BZ79">
        <v>8</v>
      </c>
      <c r="CA79">
        <v>9</v>
      </c>
      <c r="CB79">
        <v>12</v>
      </c>
      <c r="CC79">
        <v>12</v>
      </c>
      <c r="CD79">
        <v>13</v>
      </c>
      <c r="CE79">
        <v>15</v>
      </c>
      <c r="CF79">
        <v>16</v>
      </c>
      <c r="CG79">
        <v>17</v>
      </c>
      <c r="CH79">
        <v>19</v>
      </c>
      <c r="CI79">
        <v>20</v>
      </c>
    </row>
    <row r="80" spans="2:87" x14ac:dyDescent="0.3">
      <c r="B80" s="21" t="s">
        <v>185</v>
      </c>
      <c r="C80" s="21" t="s">
        <v>98</v>
      </c>
      <c r="D80" s="21">
        <v>25</v>
      </c>
      <c r="E80" s="21">
        <v>1.6539999999999999</v>
      </c>
      <c r="F80" s="21">
        <v>65.599999999999994</v>
      </c>
      <c r="G80" s="21">
        <v>6</v>
      </c>
      <c r="H80" s="21">
        <v>95</v>
      </c>
      <c r="I80" s="21" t="s">
        <v>94</v>
      </c>
      <c r="J80" s="5">
        <v>2.6400462962962959E-2</v>
      </c>
      <c r="K80" s="21">
        <v>14.78116480175162</v>
      </c>
      <c r="L80" s="21">
        <v>50.515848290955283</v>
      </c>
      <c r="N80" s="21">
        <v>186</v>
      </c>
      <c r="O80" s="21">
        <v>19</v>
      </c>
      <c r="P80" s="21">
        <v>17</v>
      </c>
      <c r="Q80" s="21">
        <v>17</v>
      </c>
      <c r="R80" s="21">
        <v>20.963606340819169</v>
      </c>
      <c r="S80" s="21">
        <v>29.09709379128137</v>
      </c>
      <c r="T80" s="21">
        <v>761.0885072655218</v>
      </c>
      <c r="U80">
        <v>10.530416666666669</v>
      </c>
      <c r="V80">
        <v>10.96083333333333</v>
      </c>
      <c r="W80">
        <v>11.94961538461539</v>
      </c>
      <c r="X80">
        <v>12.902068965517239</v>
      </c>
      <c r="Y80">
        <v>14.20967741935484</v>
      </c>
      <c r="AF80">
        <v>2171.851940956521</v>
      </c>
      <c r="AG80">
        <v>2237.4519223880002</v>
      </c>
      <c r="AH80">
        <v>2443.6448288884608</v>
      </c>
      <c r="AI80">
        <v>2631.4340809310352</v>
      </c>
      <c r="AJ80">
        <v>2871.3039342064521</v>
      </c>
      <c r="AQ80">
        <v>132.44</v>
      </c>
      <c r="AR80">
        <v>140.56</v>
      </c>
      <c r="AS80">
        <v>149.35714285714289</v>
      </c>
      <c r="AT80">
        <v>158.54838709677421</v>
      </c>
      <c r="AU80">
        <v>168.4375</v>
      </c>
      <c r="BB80">
        <v>0.17526793859441889</v>
      </c>
      <c r="BC80">
        <v>0.38703297362479883</v>
      </c>
      <c r="BD80">
        <v>0.3953238389418996</v>
      </c>
      <c r="BE80">
        <v>0.38340215095655039</v>
      </c>
      <c r="BF80">
        <v>0.37828463243320182</v>
      </c>
      <c r="BG80" s="28">
        <v>0.90445879390835759</v>
      </c>
      <c r="BH80" s="28">
        <v>0.91018508234620099</v>
      </c>
      <c r="BI80" s="28">
        <v>0.25893873879363249</v>
      </c>
      <c r="BJ80" s="28">
        <v>0.25447325676580451</v>
      </c>
      <c r="BK80" s="28">
        <v>0.74667806187272068</v>
      </c>
      <c r="BL80" s="27">
        <v>9.4444444444444445E-3</v>
      </c>
      <c r="BM80">
        <v>20</v>
      </c>
      <c r="BN80">
        <v>6.4</v>
      </c>
      <c r="BO80">
        <v>10.73159952833478</v>
      </c>
      <c r="BP80">
        <v>11.135202453645491</v>
      </c>
      <c r="BQ80">
        <v>12.202418756668759</v>
      </c>
      <c r="BR80">
        <v>13.04530636093186</v>
      </c>
      <c r="BS80">
        <v>14.314461565433771</v>
      </c>
      <c r="BZ80">
        <v>7</v>
      </c>
      <c r="CA80">
        <v>8</v>
      </c>
      <c r="CB80">
        <v>9</v>
      </c>
      <c r="CC80">
        <v>10</v>
      </c>
      <c r="CD80">
        <v>13</v>
      </c>
      <c r="CE80">
        <v>15</v>
      </c>
      <c r="CF80">
        <v>18</v>
      </c>
      <c r="CG80">
        <v>19</v>
      </c>
      <c r="CH80">
        <v>20</v>
      </c>
    </row>
    <row r="81" spans="2:86" x14ac:dyDescent="0.3">
      <c r="B81" s="21" t="s">
        <v>186</v>
      </c>
      <c r="C81" s="21" t="s">
        <v>98</v>
      </c>
      <c r="D81" s="21">
        <v>32</v>
      </c>
      <c r="E81" s="21">
        <v>1.65</v>
      </c>
      <c r="F81" s="21">
        <v>53.2</v>
      </c>
      <c r="G81" s="21">
        <v>6</v>
      </c>
      <c r="H81" s="21">
        <v>80</v>
      </c>
      <c r="I81" s="21" t="s">
        <v>94</v>
      </c>
      <c r="J81" s="5">
        <v>2.5462962962962962E-2</v>
      </c>
      <c r="K81" s="21">
        <v>14.917059327613529</v>
      </c>
      <c r="L81" s="21">
        <v>53.259845297744363</v>
      </c>
      <c r="N81" s="21">
        <v>175</v>
      </c>
      <c r="O81" s="21">
        <v>18</v>
      </c>
      <c r="P81" s="21">
        <v>17</v>
      </c>
      <c r="Q81" s="21">
        <v>17</v>
      </c>
      <c r="R81" s="21">
        <v>21.89950592885371</v>
      </c>
      <c r="S81" s="21">
        <v>27.576086956521738</v>
      </c>
      <c r="T81" s="21">
        <v>762</v>
      </c>
      <c r="U81">
        <v>8.9179999999999993</v>
      </c>
      <c r="V81">
        <v>9.339487179487179</v>
      </c>
      <c r="W81">
        <v>9.8358333333333317</v>
      </c>
      <c r="X81">
        <v>10.74568181818182</v>
      </c>
      <c r="Y81">
        <v>11.264489795918371</v>
      </c>
      <c r="AF81">
        <v>1836.56209635</v>
      </c>
      <c r="AG81">
        <v>1909.802598207692</v>
      </c>
      <c r="AH81">
        <v>2000.502862627083</v>
      </c>
      <c r="AI81">
        <v>2172.7666753840908</v>
      </c>
      <c r="AJ81">
        <v>2259.4904839919991</v>
      </c>
      <c r="AQ81">
        <v>111.0967741935484</v>
      </c>
      <c r="AR81">
        <v>118.51219512195119</v>
      </c>
      <c r="AS81">
        <v>128.38</v>
      </c>
      <c r="AT81">
        <v>142.71739130434781</v>
      </c>
      <c r="AU81">
        <v>149.47058823529409</v>
      </c>
      <c r="BB81">
        <v>0.16222244983164369</v>
      </c>
      <c r="BC81">
        <v>0.410358641799419</v>
      </c>
      <c r="BD81">
        <v>0.41223937934959742</v>
      </c>
      <c r="BE81">
        <v>0.38811137570289372</v>
      </c>
      <c r="BF81">
        <v>0.38116992612815243</v>
      </c>
      <c r="BG81" s="28">
        <v>0.93791145035624501</v>
      </c>
      <c r="BH81" s="28">
        <v>0.93596835643053056</v>
      </c>
      <c r="BI81" s="28">
        <v>0.24443905069482971</v>
      </c>
      <c r="BJ81" s="28">
        <v>0.23997210660386181</v>
      </c>
      <c r="BK81" s="28">
        <v>0.71306009660661207</v>
      </c>
      <c r="BL81" s="27">
        <v>1.458333333333333E-2</v>
      </c>
      <c r="BO81">
        <v>9.1163793689371193</v>
      </c>
      <c r="BP81">
        <v>9.471844345351407</v>
      </c>
      <c r="BQ81">
        <v>9.9501933461248289</v>
      </c>
      <c r="BR81">
        <v>10.849981102861751</v>
      </c>
      <c r="BS81">
        <v>11.352194045978059</v>
      </c>
      <c r="BZ81">
        <v>10</v>
      </c>
      <c r="CA81">
        <v>11</v>
      </c>
      <c r="CB81">
        <v>12</v>
      </c>
      <c r="CC81">
        <v>12</v>
      </c>
      <c r="CD81">
        <v>13</v>
      </c>
      <c r="CE81">
        <v>14</v>
      </c>
      <c r="CF81">
        <v>15</v>
      </c>
      <c r="CG81">
        <v>18</v>
      </c>
    </row>
    <row r="82" spans="2:86" x14ac:dyDescent="0.3">
      <c r="B82" s="21" t="s">
        <v>187</v>
      </c>
      <c r="C82" s="21" t="s">
        <v>98</v>
      </c>
      <c r="D82" s="21">
        <v>40</v>
      </c>
      <c r="E82" s="21">
        <v>1.67</v>
      </c>
      <c r="F82" s="21">
        <v>52</v>
      </c>
      <c r="G82" s="21">
        <v>5</v>
      </c>
      <c r="H82" s="21">
        <v>50</v>
      </c>
      <c r="I82" s="21" t="s">
        <v>94</v>
      </c>
      <c r="J82" s="5">
        <v>2.615740740740741E-2</v>
      </c>
      <c r="K82" s="21">
        <v>13.74382614833049</v>
      </c>
      <c r="L82" s="21">
        <v>56.997161761410247</v>
      </c>
      <c r="N82" s="21">
        <v>176</v>
      </c>
      <c r="O82" s="21">
        <v>15</v>
      </c>
      <c r="P82" s="21">
        <v>16</v>
      </c>
      <c r="Q82" s="21">
        <v>16</v>
      </c>
      <c r="R82" s="21">
        <v>21.41754189944135</v>
      </c>
      <c r="S82" s="21">
        <v>42.217318435754187</v>
      </c>
      <c r="T82" s="21">
        <v>757</v>
      </c>
      <c r="U82">
        <v>9.6186842105263182</v>
      </c>
      <c r="V82">
        <v>10.478157894736841</v>
      </c>
      <c r="W82">
        <v>10.86923076923077</v>
      </c>
      <c r="X82">
        <v>11.97552631578948</v>
      </c>
      <c r="AF82">
        <v>1961.6602837736839</v>
      </c>
      <c r="AG82">
        <v>2143.027727628948</v>
      </c>
      <c r="AH82">
        <v>2223.3603379230772</v>
      </c>
      <c r="AI82">
        <v>2437.0105571684198</v>
      </c>
      <c r="AQ82">
        <v>142.19999999999999</v>
      </c>
      <c r="AR82">
        <v>147.61538461538461</v>
      </c>
      <c r="AS82">
        <v>154.6</v>
      </c>
      <c r="AT82">
        <v>161.85</v>
      </c>
      <c r="BB82">
        <v>0.16093849843597541</v>
      </c>
      <c r="BC82">
        <v>0.42571246499343968</v>
      </c>
      <c r="BD82">
        <v>0.42919638684964567</v>
      </c>
      <c r="BE82">
        <v>0.39105698769050051</v>
      </c>
      <c r="BF82">
        <v>0.38799318843384051</v>
      </c>
      <c r="BG82" s="28">
        <v>0.95532549735903738</v>
      </c>
      <c r="BH82" s="28">
        <v>0.95632719430327418</v>
      </c>
      <c r="BI82" s="28">
        <v>0.27345636277446211</v>
      </c>
      <c r="BJ82" s="28">
        <v>0.27140159253082408</v>
      </c>
      <c r="BK82" s="28">
        <v>0.71417365416884415</v>
      </c>
      <c r="BL82" s="27">
        <v>2.553240740740741E-2</v>
      </c>
      <c r="BO82">
        <v>9.7645802965443984</v>
      </c>
      <c r="BP82">
        <v>10.66174974758234</v>
      </c>
      <c r="BQ82">
        <v>11.04636444440893</v>
      </c>
      <c r="BR82">
        <v>12.146495883349941</v>
      </c>
      <c r="BZ82">
        <v>11</v>
      </c>
      <c r="CA82">
        <v>12</v>
      </c>
      <c r="CB82">
        <v>13</v>
      </c>
      <c r="CC82">
        <v>13</v>
      </c>
      <c r="CD82">
        <v>14</v>
      </c>
      <c r="CE82">
        <v>14</v>
      </c>
      <c r="CF82">
        <v>15</v>
      </c>
    </row>
    <row r="83" spans="2:86" x14ac:dyDescent="0.3">
      <c r="B83" s="21" t="s">
        <v>188</v>
      </c>
      <c r="C83" s="21" t="s">
        <v>98</v>
      </c>
      <c r="D83" s="21">
        <v>21</v>
      </c>
      <c r="E83" s="21">
        <v>1.659</v>
      </c>
      <c r="F83" s="21">
        <v>53.7</v>
      </c>
      <c r="G83" s="21">
        <v>5</v>
      </c>
      <c r="H83" s="21">
        <v>37.5</v>
      </c>
      <c r="I83" s="21" t="s">
        <v>94</v>
      </c>
      <c r="J83" s="5">
        <v>3.5069444444444438E-2</v>
      </c>
      <c r="K83" s="21">
        <v>13.195054534172669</v>
      </c>
      <c r="L83" s="21">
        <v>45.254447817877093</v>
      </c>
      <c r="N83" s="21">
        <v>188</v>
      </c>
      <c r="O83" s="21">
        <v>19</v>
      </c>
      <c r="P83" s="21">
        <v>15</v>
      </c>
      <c r="Q83" s="21">
        <v>15</v>
      </c>
      <c r="R83" s="21">
        <v>21.194351145038329</v>
      </c>
      <c r="S83" s="21">
        <v>37.005343511450377</v>
      </c>
      <c r="T83" s="21">
        <v>760.27251908396943</v>
      </c>
      <c r="U83">
        <v>8.9663888888888899</v>
      </c>
      <c r="V83">
        <v>9.7902857142857158</v>
      </c>
      <c r="W83">
        <v>10.49970588235294</v>
      </c>
      <c r="X83">
        <v>11.002702702702701</v>
      </c>
      <c r="AF83">
        <v>1833.6381953111111</v>
      </c>
      <c r="AG83">
        <v>1980.7655363314291</v>
      </c>
      <c r="AH83">
        <v>2107.4159984735288</v>
      </c>
      <c r="AI83">
        <v>2197.1529509648649</v>
      </c>
      <c r="AQ83">
        <v>149.8648648648649</v>
      </c>
      <c r="AR83">
        <v>160.62162162162161</v>
      </c>
      <c r="AS83">
        <v>171.19444444444451</v>
      </c>
      <c r="AT83">
        <v>178.35897435897439</v>
      </c>
      <c r="BB83">
        <v>0.1649270068007018</v>
      </c>
      <c r="BC83">
        <v>0.41582664864561131</v>
      </c>
      <c r="BD83">
        <v>0.41503232011250291</v>
      </c>
      <c r="BE83">
        <v>0.371647126352604</v>
      </c>
      <c r="BF83">
        <v>0.37613290574500607</v>
      </c>
      <c r="BG83" s="28">
        <v>0.9328032992184162</v>
      </c>
      <c r="BH83" s="28">
        <v>0.93272066217660909</v>
      </c>
      <c r="BI83" s="28">
        <v>0.25383486982204168</v>
      </c>
      <c r="BJ83" s="28">
        <v>0.25958715763614681</v>
      </c>
      <c r="BK83" s="28">
        <v>0.72623801930248733</v>
      </c>
      <c r="BL83" s="27">
        <v>8.7037037037037031E-3</v>
      </c>
      <c r="BM83">
        <v>20</v>
      </c>
      <c r="BN83">
        <v>6.7</v>
      </c>
      <c r="BO83">
        <v>9.1005379945677092</v>
      </c>
      <c r="BP83">
        <v>9.867515559614823</v>
      </c>
      <c r="BQ83">
        <v>10.57747771916044</v>
      </c>
      <c r="BR83">
        <v>11.05802227578099</v>
      </c>
      <c r="BZ83">
        <v>11</v>
      </c>
      <c r="CA83">
        <v>12</v>
      </c>
      <c r="CB83">
        <v>14</v>
      </c>
      <c r="CC83">
        <v>16</v>
      </c>
      <c r="CD83">
        <v>17</v>
      </c>
      <c r="CE83">
        <v>19</v>
      </c>
      <c r="CF83">
        <v>20</v>
      </c>
    </row>
    <row r="84" spans="2:86" x14ac:dyDescent="0.3">
      <c r="B84" s="21" t="s">
        <v>189</v>
      </c>
      <c r="C84" s="21" t="s">
        <v>98</v>
      </c>
      <c r="D84" s="21">
        <v>34</v>
      </c>
      <c r="E84" s="21">
        <v>1.538</v>
      </c>
      <c r="F84" s="21">
        <v>70.599999999999994</v>
      </c>
      <c r="G84" s="21">
        <v>4</v>
      </c>
      <c r="H84" s="21">
        <v>30</v>
      </c>
      <c r="I84" s="21" t="s">
        <v>94</v>
      </c>
      <c r="J84" s="5">
        <v>3.8634259259259257E-2</v>
      </c>
      <c r="K84" s="21">
        <v>11.301258390791221</v>
      </c>
      <c r="L84" s="21">
        <v>44.25760966279509</v>
      </c>
      <c r="N84" s="21">
        <v>182</v>
      </c>
      <c r="O84" s="21">
        <v>17</v>
      </c>
      <c r="P84" s="21">
        <v>12</v>
      </c>
      <c r="Q84" s="21">
        <v>12</v>
      </c>
      <c r="R84" s="21">
        <v>22.82715328467167</v>
      </c>
      <c r="S84" s="21">
        <v>34.417518248175178</v>
      </c>
      <c r="T84" s="21">
        <v>745.79708029197081</v>
      </c>
      <c r="U84">
        <v>13.529310344827589</v>
      </c>
      <c r="V84">
        <v>14.202972972972971</v>
      </c>
      <c r="AF84">
        <v>2717.1589327206889</v>
      </c>
      <c r="AG84">
        <v>2850.720139972972</v>
      </c>
      <c r="AQ84">
        <v>153.89655172413791</v>
      </c>
      <c r="AR84">
        <v>167.4473684210526</v>
      </c>
      <c r="BB84">
        <v>0.20239612198556811</v>
      </c>
      <c r="BC84">
        <v>0.37485845961423092</v>
      </c>
      <c r="BD84">
        <v>0.3642444357551653</v>
      </c>
      <c r="BE84">
        <v>0.37038567320006849</v>
      </c>
      <c r="BF84">
        <v>0.36389321300323851</v>
      </c>
      <c r="BG84" s="28">
        <v>0.88037969440221786</v>
      </c>
      <c r="BH84" s="28">
        <v>0.86336925742030146</v>
      </c>
      <c r="BI84" s="28">
        <v>0.23694534038380491</v>
      </c>
      <c r="BJ84" s="28">
        <v>0.23866954813123009</v>
      </c>
      <c r="BK84" s="28">
        <v>0.66612552408874037</v>
      </c>
      <c r="BO84">
        <v>13.61717488515969</v>
      </c>
      <c r="BP84">
        <v>14.30058844164267</v>
      </c>
      <c r="BZ84">
        <v>12</v>
      </c>
      <c r="CA84">
        <v>13</v>
      </c>
      <c r="CB84">
        <v>17</v>
      </c>
    </row>
    <row r="85" spans="2:86" x14ac:dyDescent="0.3">
      <c r="B85" s="21" t="s">
        <v>190</v>
      </c>
      <c r="C85" s="21" t="s">
        <v>98</v>
      </c>
      <c r="D85" s="21">
        <v>28</v>
      </c>
      <c r="E85" s="21">
        <v>1.746</v>
      </c>
      <c r="F85" s="21">
        <v>60</v>
      </c>
      <c r="G85" s="21">
        <v>3</v>
      </c>
      <c r="H85" s="21">
        <v>25</v>
      </c>
      <c r="I85" s="21" t="s">
        <v>94</v>
      </c>
      <c r="J85" s="5">
        <v>3.9583333333333331E-2</v>
      </c>
      <c r="K85" s="21">
        <v>11.910743574180859</v>
      </c>
      <c r="L85" s="21">
        <v>46.608981732444441</v>
      </c>
      <c r="N85" s="21">
        <v>185</v>
      </c>
      <c r="O85" s="21">
        <v>16</v>
      </c>
      <c r="P85" s="21">
        <v>13</v>
      </c>
      <c r="Q85" s="21">
        <v>13</v>
      </c>
      <c r="R85" s="21">
        <v>22.649288486416761</v>
      </c>
      <c r="S85" s="21">
        <v>37.072445019404917</v>
      </c>
      <c r="T85" s="21">
        <v>756</v>
      </c>
      <c r="U85">
        <v>10.75608695652174</v>
      </c>
      <c r="V85">
        <v>11.18551724137931</v>
      </c>
      <c r="AF85">
        <v>2159.843174713043</v>
      </c>
      <c r="AG85">
        <v>2247.8142512551731</v>
      </c>
      <c r="AQ85">
        <v>149.44</v>
      </c>
      <c r="AR85">
        <v>160</v>
      </c>
      <c r="BB85">
        <v>0.18983483485688671</v>
      </c>
      <c r="BC85">
        <v>0.45154873725551598</v>
      </c>
      <c r="BD85">
        <v>0.44259181602178632</v>
      </c>
      <c r="BE85">
        <v>0.40541947671961148</v>
      </c>
      <c r="BF85">
        <v>0.4051815805467503</v>
      </c>
      <c r="BG85" s="28">
        <v>0.98852449059486391</v>
      </c>
      <c r="BH85" s="28">
        <v>0.97970238530635834</v>
      </c>
      <c r="BI85" s="28">
        <v>0.25820523001329698</v>
      </c>
      <c r="BJ85" s="28">
        <v>0.25833003170675461</v>
      </c>
      <c r="BK85" s="28">
        <v>0.76188656204938887</v>
      </c>
      <c r="BL85" s="27">
        <v>1.346064814814815E-2</v>
      </c>
      <c r="BM85">
        <v>18</v>
      </c>
      <c r="BN85">
        <v>6.2</v>
      </c>
      <c r="BO85">
        <v>10.818359605255599</v>
      </c>
      <c r="BP85">
        <v>11.29086361960699</v>
      </c>
      <c r="BZ85">
        <v>11</v>
      </c>
      <c r="CA85">
        <v>12</v>
      </c>
      <c r="CB85">
        <v>14</v>
      </c>
      <c r="CC85">
        <v>16</v>
      </c>
      <c r="CD85">
        <v>20</v>
      </c>
    </row>
    <row r="86" spans="2:86" x14ac:dyDescent="0.3">
      <c r="B86" s="21" t="s">
        <v>191</v>
      </c>
      <c r="C86" s="21" t="s">
        <v>98</v>
      </c>
      <c r="D86" s="21">
        <v>47</v>
      </c>
      <c r="E86" s="21">
        <v>1.6850000000000001</v>
      </c>
      <c r="F86" s="21">
        <v>50.4</v>
      </c>
      <c r="G86" s="21">
        <v>6</v>
      </c>
      <c r="H86" s="21">
        <v>100</v>
      </c>
      <c r="I86" s="21" t="s">
        <v>94</v>
      </c>
      <c r="J86" s="5">
        <v>2.628472222222222E-2</v>
      </c>
      <c r="K86" s="21">
        <v>14.86745433613733</v>
      </c>
      <c r="L86" s="21">
        <v>59.671294028659609</v>
      </c>
      <c r="N86" s="21">
        <v>163</v>
      </c>
      <c r="O86" s="21">
        <v>19</v>
      </c>
      <c r="P86" s="21">
        <v>17</v>
      </c>
      <c r="Q86" s="21">
        <v>17</v>
      </c>
      <c r="R86" s="21">
        <v>23.16067251461989</v>
      </c>
      <c r="S86" s="21">
        <v>37.289473684210527</v>
      </c>
      <c r="T86" s="21">
        <v>754</v>
      </c>
      <c r="U86">
        <v>8.2026086956521738</v>
      </c>
      <c r="V86">
        <v>8.7241666666666671</v>
      </c>
      <c r="W86">
        <v>9.3882608695652205</v>
      </c>
      <c r="X86">
        <v>10.0968</v>
      </c>
      <c r="Y86">
        <v>10.815185185185181</v>
      </c>
      <c r="AF86">
        <v>1697.5538943347831</v>
      </c>
      <c r="AG86">
        <v>1794.2264303625</v>
      </c>
      <c r="AH86">
        <v>1924.5823594565211</v>
      </c>
      <c r="AI86">
        <v>2060.312767848</v>
      </c>
      <c r="AJ86">
        <v>2198.0837635370372</v>
      </c>
      <c r="AQ86">
        <v>102.2916666666667</v>
      </c>
      <c r="AR86">
        <v>114.68</v>
      </c>
      <c r="AS86">
        <v>122.36</v>
      </c>
      <c r="AT86">
        <v>130.9259259259259</v>
      </c>
      <c r="AU86">
        <v>140.92857142857139</v>
      </c>
      <c r="BB86">
        <v>0.182262857470986</v>
      </c>
      <c r="BC86">
        <v>0.43783017693220661</v>
      </c>
      <c r="BD86">
        <v>0.43756204983567049</v>
      </c>
      <c r="BE86">
        <v>0.37616298753348321</v>
      </c>
      <c r="BF86">
        <v>0.37353614433386029</v>
      </c>
      <c r="BG86" s="28">
        <v>0.96456001776456834</v>
      </c>
      <c r="BH86" s="28">
        <v>0.96594889694452291</v>
      </c>
      <c r="BI86" s="28">
        <v>0.27015727807118761</v>
      </c>
      <c r="BJ86" s="28">
        <v>0.27558983725798109</v>
      </c>
      <c r="BK86" s="28">
        <v>0.71974554264545443</v>
      </c>
      <c r="BL86" s="27">
        <v>1.6111111111111111E-2</v>
      </c>
      <c r="BM86">
        <v>20</v>
      </c>
      <c r="BN86">
        <v>5.3</v>
      </c>
      <c r="BO86">
        <v>8.3836886304245724</v>
      </c>
      <c r="BP86">
        <v>8.9107583768216703</v>
      </c>
      <c r="BQ86">
        <v>9.5425016988834237</v>
      </c>
      <c r="BR86">
        <v>10.24777251179033</v>
      </c>
      <c r="BS86">
        <v>10.91568936400904</v>
      </c>
      <c r="BZ86">
        <v>7</v>
      </c>
      <c r="CA86">
        <v>11</v>
      </c>
      <c r="CB86">
        <v>13</v>
      </c>
      <c r="CC86">
        <v>14</v>
      </c>
      <c r="CD86">
        <v>15</v>
      </c>
      <c r="CE86">
        <v>16</v>
      </c>
      <c r="CF86">
        <v>17</v>
      </c>
      <c r="CG86">
        <v>19</v>
      </c>
      <c r="CH86">
        <v>20</v>
      </c>
    </row>
    <row r="87" spans="2:86" x14ac:dyDescent="0.3">
      <c r="B87" s="21" t="s">
        <v>192</v>
      </c>
      <c r="C87" s="21" t="s">
        <v>98</v>
      </c>
      <c r="D87" s="21">
        <v>48</v>
      </c>
      <c r="E87" s="21">
        <v>1.6080000000000001</v>
      </c>
      <c r="F87" s="21">
        <v>49.4</v>
      </c>
      <c r="G87" s="21">
        <v>4</v>
      </c>
      <c r="H87" s="21">
        <v>65</v>
      </c>
      <c r="I87" s="21" t="s">
        <v>94</v>
      </c>
      <c r="J87" s="5">
        <v>2.9861111111111109E-2</v>
      </c>
      <c r="K87" s="21">
        <v>13.304941341419379</v>
      </c>
      <c r="L87" s="21">
        <v>56.919855501079631</v>
      </c>
      <c r="N87" s="21">
        <v>173</v>
      </c>
      <c r="O87" s="21">
        <v>18</v>
      </c>
      <c r="P87" s="21">
        <v>15</v>
      </c>
      <c r="Q87" s="21">
        <v>15</v>
      </c>
      <c r="R87" s="21">
        <v>22.664339339339151</v>
      </c>
      <c r="S87" s="21">
        <v>37.895645645645637</v>
      </c>
      <c r="T87" s="21">
        <v>754</v>
      </c>
      <c r="U87">
        <v>11.34333333333333</v>
      </c>
      <c r="V87">
        <v>11.696060606060611</v>
      </c>
      <c r="W87">
        <v>12.54757575757576</v>
      </c>
      <c r="X87">
        <v>13.21142857142857</v>
      </c>
      <c r="AF87">
        <v>2309.4935465030312</v>
      </c>
      <c r="AG87">
        <v>2384.116270027273</v>
      </c>
      <c r="AH87">
        <v>2541.6366827636361</v>
      </c>
      <c r="AI87">
        <v>2667.1171744257149</v>
      </c>
      <c r="AQ87">
        <v>126.64705882352941</v>
      </c>
      <c r="AR87">
        <v>134.8857142857143</v>
      </c>
      <c r="AS87">
        <v>145.62857142857141</v>
      </c>
      <c r="AT87">
        <v>152.7777777777778</v>
      </c>
      <c r="BB87">
        <v>0.1620096619639543</v>
      </c>
      <c r="BC87">
        <v>0.40036035372547718</v>
      </c>
      <c r="BD87">
        <v>0.40261783384848793</v>
      </c>
      <c r="BE87">
        <v>0.35285991941208011</v>
      </c>
      <c r="BF87">
        <v>0.35634169681119809</v>
      </c>
      <c r="BG87" s="28">
        <v>0.90090086093544963</v>
      </c>
      <c r="BH87" s="28">
        <v>0.90682177641987805</v>
      </c>
      <c r="BI87" s="28">
        <v>0.24785228545064289</v>
      </c>
      <c r="BJ87" s="28">
        <v>0.24569699812340681</v>
      </c>
      <c r="BK87" s="28">
        <v>0.70413868132233626</v>
      </c>
      <c r="BL87" s="27">
        <v>4.5138888888888876E-3</v>
      </c>
      <c r="BM87">
        <v>19</v>
      </c>
      <c r="BN87">
        <v>7.9</v>
      </c>
      <c r="BO87">
        <v>11.599351893317721</v>
      </c>
      <c r="BP87">
        <v>11.850572717821731</v>
      </c>
      <c r="BQ87">
        <v>12.69108137629498</v>
      </c>
      <c r="BR87">
        <v>13.382125888526151</v>
      </c>
      <c r="BZ87">
        <v>8</v>
      </c>
      <c r="CA87">
        <v>10</v>
      </c>
      <c r="CB87">
        <v>12</v>
      </c>
      <c r="CC87">
        <v>13</v>
      </c>
      <c r="CD87">
        <v>15</v>
      </c>
      <c r="CE87">
        <v>18</v>
      </c>
      <c r="CF87">
        <v>20</v>
      </c>
    </row>
    <row r="88" spans="2:86" x14ac:dyDescent="0.3">
      <c r="B88" s="21" t="s">
        <v>193</v>
      </c>
      <c r="C88" s="21" t="s">
        <v>98</v>
      </c>
      <c r="D88" s="21">
        <v>23</v>
      </c>
      <c r="E88" s="21">
        <v>1.6579999999999999</v>
      </c>
      <c r="F88" s="21">
        <v>64.599999999999994</v>
      </c>
      <c r="G88" s="21">
        <v>7</v>
      </c>
      <c r="H88" s="21">
        <v>40</v>
      </c>
      <c r="I88" s="21" t="s">
        <v>194</v>
      </c>
      <c r="J88" s="5">
        <v>2.9861111111111109E-2</v>
      </c>
      <c r="K88" s="21">
        <v>13.820060116922569</v>
      </c>
      <c r="L88" s="21">
        <v>54.482940443859647</v>
      </c>
      <c r="N88" s="21">
        <v>189</v>
      </c>
      <c r="O88" s="21">
        <v>17</v>
      </c>
      <c r="P88" s="21">
        <v>16</v>
      </c>
      <c r="Q88" s="21">
        <v>16</v>
      </c>
      <c r="R88" s="21">
        <v>21.06543046357622</v>
      </c>
      <c r="S88" s="21">
        <v>36.592052980132451</v>
      </c>
      <c r="T88" s="21">
        <v>738.05165562913908</v>
      </c>
      <c r="U88">
        <v>10.25677419354839</v>
      </c>
      <c r="V88">
        <v>11.414666666666671</v>
      </c>
      <c r="W88">
        <v>12.46944444444444</v>
      </c>
      <c r="X88">
        <v>13.71857142857143</v>
      </c>
      <c r="AF88">
        <v>2137.7864025433332</v>
      </c>
      <c r="AG88">
        <v>2371.0262234866668</v>
      </c>
      <c r="AH88">
        <v>2567.431567149999</v>
      </c>
      <c r="AI88">
        <v>2810.401591082858</v>
      </c>
      <c r="AQ88">
        <v>132.375</v>
      </c>
      <c r="AR88">
        <v>141.125</v>
      </c>
      <c r="AS88">
        <v>155.16666666666671</v>
      </c>
      <c r="AT88">
        <v>164.64864864864859</v>
      </c>
      <c r="BB88">
        <v>0.15734123960005031</v>
      </c>
      <c r="BC88">
        <v>0.42291520591092119</v>
      </c>
      <c r="BD88">
        <v>0.42055883637491559</v>
      </c>
      <c r="BE88">
        <v>0.38672205067683701</v>
      </c>
      <c r="BF88">
        <v>0.38485591570609717</v>
      </c>
      <c r="BG88" s="28">
        <v>0.94641282445192332</v>
      </c>
      <c r="BH88" s="28">
        <v>0.94475716951489452</v>
      </c>
      <c r="BI88" s="28">
        <v>0.25927941568030599</v>
      </c>
      <c r="BJ88" s="28">
        <v>0.25399697183227288</v>
      </c>
      <c r="BK88" s="28">
        <v>0.712415003016591</v>
      </c>
      <c r="BL88" s="27">
        <v>1.5208333333333331E-2</v>
      </c>
      <c r="BM88">
        <v>20</v>
      </c>
      <c r="BN88">
        <v>10.3</v>
      </c>
      <c r="BO88">
        <v>10.461783447602</v>
      </c>
      <c r="BP88">
        <v>11.775904164375049</v>
      </c>
      <c r="BQ88">
        <v>12.692994542400109</v>
      </c>
      <c r="BR88">
        <v>13.90521877983185</v>
      </c>
      <c r="BZ88">
        <v>11</v>
      </c>
      <c r="CA88">
        <v>11</v>
      </c>
      <c r="CB88">
        <v>12</v>
      </c>
      <c r="CC88">
        <v>13</v>
      </c>
      <c r="CD88">
        <v>15</v>
      </c>
      <c r="CE88">
        <v>15</v>
      </c>
      <c r="CF88">
        <v>17</v>
      </c>
      <c r="CG88">
        <v>20</v>
      </c>
    </row>
    <row r="89" spans="2:86" x14ac:dyDescent="0.3">
      <c r="B89" s="21" t="s">
        <v>195</v>
      </c>
      <c r="C89" s="21" t="s">
        <v>98</v>
      </c>
      <c r="D89" s="21">
        <v>22</v>
      </c>
      <c r="E89" s="21">
        <v>1.655</v>
      </c>
      <c r="F89" s="21">
        <v>53.2</v>
      </c>
      <c r="G89" s="21">
        <v>3</v>
      </c>
      <c r="H89" s="21">
        <v>10</v>
      </c>
      <c r="J89" s="5">
        <v>3.8194444444444448E-2</v>
      </c>
      <c r="K89" s="21">
        <v>11.18230490784704</v>
      </c>
      <c r="L89" s="21">
        <v>38.49579144837093</v>
      </c>
      <c r="N89" s="21">
        <v>197</v>
      </c>
      <c r="O89" s="21">
        <v>17</v>
      </c>
      <c r="P89" s="21">
        <v>12</v>
      </c>
      <c r="Q89" s="21">
        <v>12</v>
      </c>
      <c r="R89" s="21">
        <v>23.32515644555707</v>
      </c>
      <c r="S89" s="21">
        <v>35.439299123904881</v>
      </c>
      <c r="T89" s="21">
        <v>739</v>
      </c>
      <c r="U89">
        <v>9.1208571428571439</v>
      </c>
      <c r="V89">
        <v>9.6966666666666654</v>
      </c>
      <c r="AF89">
        <v>1838.7161384999999</v>
      </c>
      <c r="AG89">
        <v>1955.011681948718</v>
      </c>
      <c r="AQ89">
        <v>170.2777777777778</v>
      </c>
      <c r="AR89">
        <v>181.60975609756099</v>
      </c>
      <c r="BB89">
        <v>0.16094968798160089</v>
      </c>
      <c r="BC89">
        <v>0.41210367350072741</v>
      </c>
      <c r="BD89">
        <v>0.4053746437041591</v>
      </c>
      <c r="BE89">
        <v>0.38447761099268951</v>
      </c>
      <c r="BF89">
        <v>0.3863035736094097</v>
      </c>
      <c r="BG89" s="28">
        <v>0.92448916659093827</v>
      </c>
      <c r="BH89" s="28">
        <v>0.92795321374783513</v>
      </c>
      <c r="BI89" s="28">
        <v>0.26084674237691841</v>
      </c>
      <c r="BJ89" s="28">
        <v>0.25566963307277252</v>
      </c>
      <c r="BK89" s="28">
        <v>0.72877880983061338</v>
      </c>
      <c r="BO89">
        <v>9.1682374680720571</v>
      </c>
      <c r="BP89">
        <v>9.7671591921837919</v>
      </c>
      <c r="BZ89">
        <v>11</v>
      </c>
      <c r="CA89">
        <v>14</v>
      </c>
      <c r="CB89">
        <v>17</v>
      </c>
      <c r="CC89">
        <v>20</v>
      </c>
    </row>
    <row r="90" spans="2:86" x14ac:dyDescent="0.3">
      <c r="B90" s="21" t="s">
        <v>196</v>
      </c>
      <c r="C90" s="21" t="s">
        <v>98</v>
      </c>
      <c r="D90" s="21">
        <v>28</v>
      </c>
      <c r="E90" s="21">
        <v>1.5329999999999999</v>
      </c>
      <c r="F90" s="21">
        <v>53.6</v>
      </c>
      <c r="G90" s="21">
        <v>2</v>
      </c>
      <c r="H90" s="21">
        <v>24</v>
      </c>
      <c r="I90" s="21" t="s">
        <v>94</v>
      </c>
      <c r="J90" s="5">
        <v>3.4178240740740738E-2</v>
      </c>
      <c r="K90" s="21">
        <v>11.788912912100161</v>
      </c>
      <c r="L90" s="21">
        <v>40.888029717910442</v>
      </c>
      <c r="N90" s="21">
        <v>180</v>
      </c>
      <c r="O90" s="21">
        <v>18</v>
      </c>
      <c r="P90" s="21">
        <v>13</v>
      </c>
      <c r="Q90" s="21">
        <v>13</v>
      </c>
      <c r="R90" s="21">
        <v>22.833085501858601</v>
      </c>
      <c r="S90" s="21">
        <v>33.405204460966537</v>
      </c>
      <c r="T90" s="21">
        <v>726.35594795539032</v>
      </c>
      <c r="U90">
        <v>8.1039473684210552</v>
      </c>
      <c r="V90">
        <v>8.5882222222222246</v>
      </c>
      <c r="AF90">
        <v>1631.644210236843</v>
      </c>
      <c r="AG90">
        <v>1717.052880302223</v>
      </c>
      <c r="AQ90">
        <v>135.90243902439019</v>
      </c>
      <c r="AR90">
        <v>153.468085106383</v>
      </c>
      <c r="BB90">
        <v>0.16958946851581211</v>
      </c>
      <c r="BC90">
        <v>0.36842483947092358</v>
      </c>
      <c r="BD90">
        <v>0.36631645767160242</v>
      </c>
      <c r="BE90">
        <v>0.34960339150809838</v>
      </c>
      <c r="BF90">
        <v>0.34648395519949221</v>
      </c>
      <c r="BG90" s="28">
        <v>0.86469174352288247</v>
      </c>
      <c r="BH90" s="28">
        <v>0.85786799243092537</v>
      </c>
      <c r="BI90" s="28">
        <v>0.24676967827849361</v>
      </c>
      <c r="BJ90" s="28">
        <v>0.2454362101326554</v>
      </c>
      <c r="BK90" s="28">
        <v>0.67172013202309599</v>
      </c>
      <c r="BL90" s="27">
        <v>7.9629629629629634E-3</v>
      </c>
      <c r="BM90">
        <v>20</v>
      </c>
      <c r="BN90">
        <v>5.8</v>
      </c>
      <c r="BO90">
        <v>8.2990729609655141</v>
      </c>
      <c r="BP90">
        <v>8.6432508358273061</v>
      </c>
      <c r="BZ90">
        <v>9</v>
      </c>
      <c r="CA90">
        <v>11</v>
      </c>
      <c r="CB90">
        <v>14</v>
      </c>
      <c r="CC90">
        <v>18</v>
      </c>
    </row>
    <row r="91" spans="2:86" x14ac:dyDescent="0.3">
      <c r="B91" s="21" t="s">
        <v>197</v>
      </c>
      <c r="C91" s="21" t="s">
        <v>98</v>
      </c>
      <c r="D91" s="21">
        <v>26</v>
      </c>
      <c r="E91" s="21">
        <v>1.6160000000000001</v>
      </c>
      <c r="F91" s="21">
        <v>52.8</v>
      </c>
      <c r="G91" s="21">
        <v>3</v>
      </c>
      <c r="H91" s="21">
        <v>36</v>
      </c>
      <c r="I91" s="21" t="s">
        <v>94</v>
      </c>
      <c r="J91" s="5">
        <v>2.7662037037037041E-2</v>
      </c>
      <c r="K91" s="21">
        <v>15.09176219812999</v>
      </c>
      <c r="L91" s="21">
        <v>55.282947259217181</v>
      </c>
      <c r="N91" s="21">
        <v>182</v>
      </c>
      <c r="O91" s="21">
        <v>20</v>
      </c>
      <c r="P91" s="21">
        <v>17</v>
      </c>
      <c r="Q91" s="21">
        <v>17</v>
      </c>
      <c r="R91" s="21">
        <v>22.214269208550029</v>
      </c>
      <c r="S91" s="21">
        <v>26.22183708838822</v>
      </c>
      <c r="T91" s="21">
        <v>735.44714038128245</v>
      </c>
      <c r="U91">
        <v>9.0824137931034485</v>
      </c>
      <c r="V91">
        <v>8.98</v>
      </c>
      <c r="W91">
        <v>9.7048484848484868</v>
      </c>
      <c r="X91">
        <v>10.329459459459461</v>
      </c>
      <c r="Y91">
        <v>12.046923076923081</v>
      </c>
      <c r="Z91">
        <v>13.72333333333334</v>
      </c>
      <c r="AF91">
        <v>1863.6609705275871</v>
      </c>
      <c r="AG91">
        <v>1826.106260684375</v>
      </c>
      <c r="AH91">
        <v>1970.235948378788</v>
      </c>
      <c r="AI91">
        <v>2093.1541314162159</v>
      </c>
      <c r="AJ91">
        <v>2430.573047697435</v>
      </c>
      <c r="AK91">
        <v>2716.55529295</v>
      </c>
      <c r="AQ91">
        <v>133.9677419354839</v>
      </c>
      <c r="AR91">
        <v>136.4722222222222</v>
      </c>
      <c r="AS91">
        <v>141.7222222222222</v>
      </c>
      <c r="AT91">
        <v>151.1</v>
      </c>
      <c r="AU91">
        <v>159.48780487804879</v>
      </c>
      <c r="AV91">
        <v>165.8636363636364</v>
      </c>
      <c r="BB91">
        <v>0.14714751817932051</v>
      </c>
      <c r="BC91">
        <v>0.43097675787607259</v>
      </c>
      <c r="BD91">
        <v>0.42995984251347841</v>
      </c>
      <c r="BE91">
        <v>0.38390934415720868</v>
      </c>
      <c r="BF91">
        <v>0.38073412348395891</v>
      </c>
      <c r="BG91" s="28">
        <v>0.96646210601925853</v>
      </c>
      <c r="BH91" s="28">
        <v>0.96219826719164847</v>
      </c>
      <c r="BI91" s="28">
        <v>0.2512563793615834</v>
      </c>
      <c r="BJ91" s="28">
        <v>0.25223650902103423</v>
      </c>
      <c r="BK91" s="28">
        <v>0.65166981339454666</v>
      </c>
      <c r="BL91" s="27">
        <v>9.1435185185185178E-3</v>
      </c>
      <c r="BM91">
        <v>20</v>
      </c>
      <c r="BN91">
        <v>6.4</v>
      </c>
      <c r="BO91">
        <v>9.3274557737472907</v>
      </c>
      <c r="BP91">
        <v>9.1031211965390746</v>
      </c>
      <c r="BQ91">
        <v>9.7599901069584138</v>
      </c>
      <c r="BR91">
        <v>10.47632531109576</v>
      </c>
      <c r="BS91">
        <v>12.18389373741727</v>
      </c>
      <c r="BT91">
        <v>13.771868951487839</v>
      </c>
      <c r="BZ91">
        <v>11</v>
      </c>
      <c r="CA91">
        <v>11</v>
      </c>
      <c r="CB91">
        <v>12</v>
      </c>
      <c r="CC91">
        <v>13</v>
      </c>
      <c r="CD91">
        <v>13</v>
      </c>
      <c r="CE91">
        <v>14</v>
      </c>
      <c r="CF91">
        <v>17</v>
      </c>
      <c r="CG91">
        <v>20</v>
      </c>
    </row>
    <row r="92" spans="2:86" x14ac:dyDescent="0.3">
      <c r="B92" s="21" t="s">
        <v>198</v>
      </c>
      <c r="C92" s="21" t="s">
        <v>98</v>
      </c>
      <c r="D92" s="21">
        <v>47</v>
      </c>
      <c r="E92" s="21">
        <v>1.694</v>
      </c>
      <c r="F92" s="21">
        <v>57.6</v>
      </c>
      <c r="G92" s="21">
        <v>4</v>
      </c>
      <c r="H92" s="21">
        <v>42.5</v>
      </c>
      <c r="I92" s="21" t="s">
        <v>94</v>
      </c>
      <c r="J92" s="5">
        <v>3.6388888888888887E-2</v>
      </c>
      <c r="K92" s="21">
        <v>12.61851685443094</v>
      </c>
      <c r="L92" s="21">
        <v>47.670397484027781</v>
      </c>
      <c r="N92" s="21">
        <v>177</v>
      </c>
      <c r="O92" s="21">
        <v>19</v>
      </c>
      <c r="P92" s="21">
        <v>14</v>
      </c>
      <c r="Q92" s="21">
        <v>14</v>
      </c>
      <c r="R92" s="21">
        <v>22.7592369477909</v>
      </c>
      <c r="S92" s="21">
        <v>26.80522088353414</v>
      </c>
      <c r="T92" s="21">
        <v>738.95080321285138</v>
      </c>
      <c r="U92">
        <v>11.017200000000001</v>
      </c>
      <c r="V92">
        <v>11.52821428571429</v>
      </c>
      <c r="W92">
        <v>12.25162162162162</v>
      </c>
      <c r="AF92">
        <v>2242.8358339916658</v>
      </c>
      <c r="AG92">
        <v>2337.284165757143</v>
      </c>
      <c r="AH92">
        <v>2462.5363688513512</v>
      </c>
      <c r="AQ92">
        <v>137.88</v>
      </c>
      <c r="AR92">
        <v>146.62068965517241</v>
      </c>
      <c r="AS92">
        <v>157.31578947368419</v>
      </c>
      <c r="BB92">
        <v>0.19060874699014119</v>
      </c>
      <c r="BC92">
        <v>0.40514508359541679</v>
      </c>
      <c r="BD92">
        <v>0.39838952660625848</v>
      </c>
      <c r="BE92">
        <v>0.38246815129799172</v>
      </c>
      <c r="BF92">
        <v>0.38393376821392039</v>
      </c>
      <c r="BG92" s="28">
        <v>0.93270933175086979</v>
      </c>
      <c r="BH92" s="28">
        <v>0.926997491300106</v>
      </c>
      <c r="BI92" s="28">
        <v>0.25596035318740301</v>
      </c>
      <c r="BJ92" s="28">
        <v>0.26109587529068118</v>
      </c>
      <c r="BK92" s="28">
        <v>0.764146588474512</v>
      </c>
      <c r="BL92" s="27">
        <v>6.8634259259259256E-3</v>
      </c>
      <c r="BM92">
        <v>20</v>
      </c>
      <c r="BN92">
        <v>6.2</v>
      </c>
      <c r="BO92">
        <v>11.187777467151751</v>
      </c>
      <c r="BP92">
        <v>11.63898149727139</v>
      </c>
      <c r="BQ92">
        <v>12.318398780149799</v>
      </c>
      <c r="BZ92">
        <v>11</v>
      </c>
      <c r="CA92">
        <v>13</v>
      </c>
      <c r="CB92">
        <v>16</v>
      </c>
      <c r="CC92">
        <v>18</v>
      </c>
      <c r="CD92">
        <v>19</v>
      </c>
      <c r="CE92">
        <v>20</v>
      </c>
    </row>
    <row r="93" spans="2:86" x14ac:dyDescent="0.3">
      <c r="B93" s="21" t="s">
        <v>199</v>
      </c>
      <c r="C93" s="21" t="s">
        <v>98</v>
      </c>
      <c r="D93" s="21">
        <v>40</v>
      </c>
      <c r="E93" s="21">
        <v>1.7210000000000001</v>
      </c>
      <c r="F93" s="21">
        <v>63</v>
      </c>
      <c r="G93" s="21">
        <v>6</v>
      </c>
      <c r="H93" s="21">
        <v>93</v>
      </c>
      <c r="I93" s="21" t="s">
        <v>94</v>
      </c>
      <c r="J93" s="5">
        <v>3.3333333333333333E-2</v>
      </c>
      <c r="K93" s="21">
        <v>12.58279865342082</v>
      </c>
      <c r="L93" s="21">
        <v>50.595305944973553</v>
      </c>
      <c r="N93" s="21">
        <v>189</v>
      </c>
      <c r="O93" s="21">
        <v>17</v>
      </c>
      <c r="P93" s="21">
        <v>14</v>
      </c>
      <c r="Q93" s="21">
        <v>14</v>
      </c>
      <c r="R93" s="21">
        <v>21.34927007299299</v>
      </c>
      <c r="S93" s="21">
        <v>30.70437956204379</v>
      </c>
      <c r="T93" s="21">
        <v>744</v>
      </c>
      <c r="U93">
        <v>10.46857142857143</v>
      </c>
      <c r="V93">
        <v>11.585428571428571</v>
      </c>
      <c r="W93">
        <v>12.120571428571431</v>
      </c>
      <c r="AF93">
        <v>2138.3175178249999</v>
      </c>
      <c r="AG93">
        <v>2359.9030579599998</v>
      </c>
      <c r="AH93">
        <v>2461.265784825714</v>
      </c>
      <c r="AQ93">
        <v>158.16666666666671</v>
      </c>
      <c r="AR93">
        <v>164.02857142857141</v>
      </c>
      <c r="AS93">
        <v>171.4722222222222</v>
      </c>
      <c r="BB93">
        <v>0.18447901766547531</v>
      </c>
      <c r="BC93">
        <v>0.43213953137738148</v>
      </c>
      <c r="BD93">
        <v>0.42781174897248397</v>
      </c>
      <c r="BE93">
        <v>0.41457854192178922</v>
      </c>
      <c r="BF93">
        <v>0.42007234467557569</v>
      </c>
      <c r="BG93" s="28">
        <v>0.99328894549608227</v>
      </c>
      <c r="BH93" s="28">
        <v>0.99295565333962443</v>
      </c>
      <c r="BI93" s="28">
        <v>0.28003891983818441</v>
      </c>
      <c r="BJ93" s="28">
        <v>0.27745193026511428</v>
      </c>
      <c r="BK93" s="28">
        <v>0.72787770058214674</v>
      </c>
      <c r="BO93">
        <v>10.66827760833935</v>
      </c>
      <c r="BP93">
        <v>11.80096433191733</v>
      </c>
      <c r="BQ93">
        <v>12.25560049442409</v>
      </c>
      <c r="BZ93">
        <v>11</v>
      </c>
      <c r="CA93">
        <v>12</v>
      </c>
      <c r="CB93">
        <v>13</v>
      </c>
      <c r="CC93">
        <v>15</v>
      </c>
      <c r="CD93">
        <v>17</v>
      </c>
      <c r="CE93">
        <v>20</v>
      </c>
    </row>
    <row r="94" spans="2:86" x14ac:dyDescent="0.3">
      <c r="B94" s="21" t="s">
        <v>200</v>
      </c>
      <c r="C94" s="21" t="s">
        <v>98</v>
      </c>
      <c r="D94" s="21">
        <v>42</v>
      </c>
      <c r="E94" s="21">
        <v>1.605</v>
      </c>
      <c r="F94" s="21">
        <v>51.2</v>
      </c>
      <c r="G94" s="21">
        <v>5</v>
      </c>
      <c r="H94" s="21">
        <v>72.5</v>
      </c>
      <c r="J94" s="5">
        <v>2.6180555555555551E-2</v>
      </c>
      <c r="K94" s="21">
        <v>14.445612385341009</v>
      </c>
      <c r="L94" s="21">
        <v>48.647379870000002</v>
      </c>
      <c r="N94" s="21">
        <v>191</v>
      </c>
      <c r="O94" s="21">
        <v>20</v>
      </c>
      <c r="P94" s="21">
        <v>17</v>
      </c>
      <c r="Q94" s="21">
        <v>17</v>
      </c>
      <c r="R94" s="21">
        <v>21.381462799495441</v>
      </c>
      <c r="S94" s="21">
        <v>29.424968474148798</v>
      </c>
      <c r="T94" s="21">
        <v>748.81715006305171</v>
      </c>
      <c r="U94">
        <v>7.8892592592592594</v>
      </c>
      <c r="V94">
        <v>8.4758620689655171</v>
      </c>
      <c r="W94">
        <v>9.2596296296296305</v>
      </c>
      <c r="X94">
        <v>9.8621212121212114</v>
      </c>
      <c r="Y94">
        <v>10.785882352941179</v>
      </c>
      <c r="AF94">
        <v>1608.198967259259</v>
      </c>
      <c r="AG94">
        <v>1722.321524437931</v>
      </c>
      <c r="AH94">
        <v>1900.9138126518519</v>
      </c>
      <c r="AI94">
        <v>2006.796452096969</v>
      </c>
      <c r="AJ94">
        <v>2172.082478832353</v>
      </c>
      <c r="AQ94">
        <v>123.5185185185185</v>
      </c>
      <c r="AR94">
        <v>133.64516129032259</v>
      </c>
      <c r="AS94">
        <v>145.96428571428569</v>
      </c>
      <c r="AT94">
        <v>154.6764705882353</v>
      </c>
      <c r="AU94">
        <v>165.5</v>
      </c>
      <c r="BB94">
        <v>0.16065100434292739</v>
      </c>
      <c r="BC94">
        <v>0.41509688554197288</v>
      </c>
      <c r="BD94">
        <v>0.41426393085722341</v>
      </c>
      <c r="BE94">
        <v>0.38392340197798869</v>
      </c>
      <c r="BF94">
        <v>0.38833547357085241</v>
      </c>
      <c r="BG94" s="28">
        <v>0.95138039296865462</v>
      </c>
      <c r="BH94" s="28">
        <v>0.95116940763592717</v>
      </c>
      <c r="BI94" s="28">
        <v>0.2569343360105088</v>
      </c>
      <c r="BJ94" s="28">
        <v>0.25800004726792092</v>
      </c>
      <c r="BK94" s="28">
        <v>0.65372509969770909</v>
      </c>
      <c r="BL94" s="27">
        <v>9.7916666666666673E-3</v>
      </c>
      <c r="BM94">
        <v>20</v>
      </c>
      <c r="BN94">
        <v>6.8</v>
      </c>
      <c r="BO94">
        <v>7.9821120482826533</v>
      </c>
      <c r="BP94">
        <v>8.6041597474747071</v>
      </c>
      <c r="BQ94">
        <v>9.4190433224618602</v>
      </c>
      <c r="BR94">
        <v>9.9627937182085944</v>
      </c>
      <c r="BS94">
        <v>10.846505638920661</v>
      </c>
      <c r="BZ94">
        <v>7</v>
      </c>
      <c r="CA94">
        <v>9</v>
      </c>
      <c r="CB94">
        <v>11</v>
      </c>
      <c r="CC94">
        <v>11</v>
      </c>
      <c r="CD94">
        <v>12</v>
      </c>
      <c r="CE94">
        <v>13</v>
      </c>
      <c r="CF94">
        <v>17</v>
      </c>
      <c r="CG94">
        <v>20</v>
      </c>
    </row>
    <row r="95" spans="2:86" x14ac:dyDescent="0.3">
      <c r="B95" s="21" t="s">
        <v>201</v>
      </c>
      <c r="C95" s="21" t="s">
        <v>98</v>
      </c>
      <c r="D95" s="21">
        <v>38</v>
      </c>
      <c r="E95" s="21">
        <v>1.6870000000000001</v>
      </c>
      <c r="F95" s="21">
        <v>65</v>
      </c>
      <c r="G95" s="21">
        <v>3</v>
      </c>
      <c r="H95" s="21">
        <v>40</v>
      </c>
      <c r="I95" s="21" t="s">
        <v>94</v>
      </c>
      <c r="J95" s="5">
        <v>3.4108796296296297E-2</v>
      </c>
      <c r="K95" s="21">
        <v>11.872029299694001</v>
      </c>
      <c r="L95" s="21">
        <v>48.392672657128188</v>
      </c>
      <c r="N95" s="21">
        <v>184</v>
      </c>
      <c r="O95" s="21">
        <v>17</v>
      </c>
      <c r="P95" s="21">
        <v>13</v>
      </c>
      <c r="Q95" s="21">
        <v>13</v>
      </c>
      <c r="R95" s="21">
        <v>22.695926966291982</v>
      </c>
      <c r="S95" s="21">
        <v>25.887640449438202</v>
      </c>
      <c r="T95" s="21">
        <v>748.94803370786519</v>
      </c>
      <c r="U95">
        <v>12.90842105263158</v>
      </c>
      <c r="V95">
        <v>13.493333333333331</v>
      </c>
      <c r="AF95">
        <v>2663.92656868421</v>
      </c>
      <c r="AG95">
        <v>2754.4890935809531</v>
      </c>
      <c r="AQ95">
        <v>150.95238095238099</v>
      </c>
      <c r="AR95">
        <v>163.5</v>
      </c>
      <c r="BB95">
        <v>0.15878791021033539</v>
      </c>
      <c r="BC95">
        <v>0.45350422800356038</v>
      </c>
      <c r="BD95">
        <v>0.458978810629734</v>
      </c>
      <c r="BE95">
        <v>0.40435604274054598</v>
      </c>
      <c r="BF95">
        <v>0.3961985996744713</v>
      </c>
      <c r="BG95" s="28">
        <v>0.99453411686420445</v>
      </c>
      <c r="BH95" s="28">
        <v>0.99556373012065891</v>
      </c>
      <c r="BI95" s="28">
        <v>0.24017142814452419</v>
      </c>
      <c r="BJ95" s="28">
        <v>0.2382832890950401</v>
      </c>
      <c r="BK95" s="28">
        <v>0.69195107650756837</v>
      </c>
      <c r="BL95" s="27">
        <v>9.2476851851851852E-3</v>
      </c>
      <c r="BM95">
        <v>20</v>
      </c>
      <c r="BN95">
        <v>5.8</v>
      </c>
      <c r="BO95">
        <v>13.14594523384401</v>
      </c>
      <c r="BP95">
        <v>13.7114362672399</v>
      </c>
      <c r="BZ95">
        <v>8</v>
      </c>
      <c r="CA95">
        <v>11</v>
      </c>
      <c r="CB95">
        <v>14</v>
      </c>
      <c r="CC95">
        <v>17</v>
      </c>
    </row>
    <row r="96" spans="2:86" x14ac:dyDescent="0.3">
      <c r="B96" s="21" t="s">
        <v>202</v>
      </c>
      <c r="C96" s="21" t="s">
        <v>98</v>
      </c>
      <c r="D96" s="21">
        <v>47</v>
      </c>
      <c r="E96" s="21">
        <v>1.627</v>
      </c>
      <c r="F96" s="21">
        <v>50.2</v>
      </c>
      <c r="G96" s="21">
        <v>5</v>
      </c>
      <c r="H96" s="21">
        <v>60</v>
      </c>
      <c r="I96" s="21" t="s">
        <v>203</v>
      </c>
      <c r="J96" s="5">
        <v>2.9166666666666671E-2</v>
      </c>
      <c r="K96" s="21">
        <v>13.2629751867515</v>
      </c>
      <c r="L96" s="21">
        <v>49.245020519787523</v>
      </c>
      <c r="N96" s="21">
        <v>162</v>
      </c>
      <c r="O96" s="21">
        <v>19</v>
      </c>
      <c r="P96" s="21">
        <v>15</v>
      </c>
      <c r="Q96" s="21">
        <v>15</v>
      </c>
      <c r="R96" s="21">
        <v>23.026280120482049</v>
      </c>
      <c r="S96" s="21">
        <v>29.326807228915658</v>
      </c>
      <c r="T96" s="21">
        <v>756</v>
      </c>
      <c r="U96">
        <v>9.5990909090909042</v>
      </c>
      <c r="V96">
        <v>10.103666666666671</v>
      </c>
      <c r="W96">
        <v>10.94</v>
      </c>
      <c r="X96">
        <v>11.64323529411765</v>
      </c>
      <c r="AF96">
        <v>1933.0775376575759</v>
      </c>
      <c r="AG96">
        <v>2051.8434884666658</v>
      </c>
      <c r="AH96">
        <v>2199.08736318</v>
      </c>
      <c r="AI96">
        <v>2315.0977914088239</v>
      </c>
      <c r="AQ96">
        <v>131.94285714285721</v>
      </c>
      <c r="AR96">
        <v>138.375</v>
      </c>
      <c r="AS96">
        <v>145.14285714285711</v>
      </c>
      <c r="AT96">
        <v>150.80555555555549</v>
      </c>
      <c r="BB96">
        <v>0.16972476443922371</v>
      </c>
      <c r="BC96">
        <v>0.40910784221160462</v>
      </c>
      <c r="BD96">
        <v>0.40989146024873541</v>
      </c>
      <c r="BE96">
        <v>0.36383568320256199</v>
      </c>
      <c r="BF96">
        <v>0.36468894031897392</v>
      </c>
      <c r="BG96" s="28">
        <v>0.91585720306634899</v>
      </c>
      <c r="BH96" s="28">
        <v>0.9171879770159721</v>
      </c>
      <c r="BI96" s="28">
        <v>0.25233557539330093</v>
      </c>
      <c r="BJ96" s="28">
        <v>0.2476793818124382</v>
      </c>
      <c r="BK96" s="28">
        <v>0.71047740995883946</v>
      </c>
      <c r="BL96" s="27">
        <v>8.3796296296296292E-3</v>
      </c>
      <c r="BM96">
        <v>19</v>
      </c>
      <c r="BN96">
        <v>10.7</v>
      </c>
      <c r="BO96">
        <v>9.64559421635626</v>
      </c>
      <c r="BP96">
        <v>10.25078150260704</v>
      </c>
      <c r="BQ96">
        <v>10.992806391732801</v>
      </c>
      <c r="BR96">
        <v>11.652251965221209</v>
      </c>
      <c r="BZ96">
        <v>11</v>
      </c>
      <c r="CA96">
        <v>11</v>
      </c>
      <c r="CB96">
        <v>12</v>
      </c>
      <c r="CC96">
        <v>13</v>
      </c>
      <c r="CD96">
        <v>15</v>
      </c>
      <c r="CE96">
        <v>19</v>
      </c>
    </row>
    <row r="97" spans="2:83" x14ac:dyDescent="0.3">
      <c r="B97" s="21" t="s">
        <v>204</v>
      </c>
      <c r="C97" s="21" t="s">
        <v>98</v>
      </c>
      <c r="D97" s="21">
        <v>20</v>
      </c>
      <c r="E97" s="21">
        <v>1.5640000000000001</v>
      </c>
      <c r="F97" s="21">
        <v>52.4</v>
      </c>
      <c r="G97" s="21">
        <v>4</v>
      </c>
      <c r="H97" s="21">
        <v>32</v>
      </c>
      <c r="I97" s="21" t="s">
        <v>94</v>
      </c>
      <c r="J97" s="5">
        <v>2.9861111111111109E-2</v>
      </c>
      <c r="K97" s="21">
        <v>13.105784402026821</v>
      </c>
      <c r="L97" s="21">
        <v>49.595405124173027</v>
      </c>
      <c r="N97" s="21">
        <v>202</v>
      </c>
      <c r="O97" s="21">
        <v>19</v>
      </c>
      <c r="P97" s="21">
        <v>15</v>
      </c>
      <c r="Q97" s="21">
        <v>15</v>
      </c>
      <c r="R97" s="21">
        <v>21.482799702159369</v>
      </c>
      <c r="S97" s="21">
        <v>35.507073715562171</v>
      </c>
      <c r="T97" s="21">
        <v>755.57632166790768</v>
      </c>
      <c r="U97">
        <v>9.192499999999999</v>
      </c>
      <c r="V97">
        <v>9.6822222222222258</v>
      </c>
      <c r="W97">
        <v>10.67823529411765</v>
      </c>
      <c r="X97">
        <v>11.539189189189189</v>
      </c>
      <c r="AF97">
        <v>1919.060270306896</v>
      </c>
      <c r="AG97">
        <v>1991.089149847222</v>
      </c>
      <c r="AH97">
        <v>2176.317492945454</v>
      </c>
      <c r="AI97">
        <v>2354.2232473277782</v>
      </c>
      <c r="AQ97">
        <v>149.875</v>
      </c>
      <c r="AR97">
        <v>164.39473684210529</v>
      </c>
      <c r="AS97">
        <v>176.51351351351349</v>
      </c>
      <c r="AT97">
        <v>186.35897435897439</v>
      </c>
      <c r="BB97">
        <v>0.16092749358856101</v>
      </c>
      <c r="BC97">
        <v>0.38042592868365249</v>
      </c>
      <c r="BD97">
        <v>0.38003788306006347</v>
      </c>
      <c r="BE97">
        <v>0.34164209583177529</v>
      </c>
      <c r="BF97">
        <v>0.34781875647936561</v>
      </c>
      <c r="BG97" s="28">
        <v>0.8576170557264714</v>
      </c>
      <c r="BH97" s="28">
        <v>0.85837294082547078</v>
      </c>
      <c r="BI97" s="28">
        <v>0.2437278048022232</v>
      </c>
      <c r="BJ97" s="28">
        <v>0.24887093111195929</v>
      </c>
      <c r="BK97" s="28">
        <v>0.70600500172402891</v>
      </c>
      <c r="BO97">
        <v>9.4871502000097205</v>
      </c>
      <c r="BP97">
        <v>9.8529660899385032</v>
      </c>
      <c r="BQ97">
        <v>10.76935683592469</v>
      </c>
      <c r="BR97">
        <v>11.72582828464564</v>
      </c>
      <c r="BZ97">
        <v>7</v>
      </c>
      <c r="CA97">
        <v>9</v>
      </c>
      <c r="CB97">
        <v>12</v>
      </c>
      <c r="CC97">
        <v>14</v>
      </c>
      <c r="CD97">
        <v>17</v>
      </c>
      <c r="CE97">
        <v>19</v>
      </c>
    </row>
    <row r="98" spans="2:83" x14ac:dyDescent="0.3">
      <c r="B98" s="21" t="s">
        <v>205</v>
      </c>
      <c r="C98" s="21" t="s">
        <v>98</v>
      </c>
      <c r="D98" s="21">
        <v>43</v>
      </c>
      <c r="E98" s="21">
        <v>1.641</v>
      </c>
      <c r="F98" s="21">
        <v>59.8</v>
      </c>
      <c r="G98" s="21">
        <v>2</v>
      </c>
      <c r="H98" s="21">
        <v>25</v>
      </c>
      <c r="I98" s="21" t="s">
        <v>94</v>
      </c>
      <c r="J98" s="5">
        <v>3.4027777777777768E-2</v>
      </c>
      <c r="K98" s="21">
        <v>11.222920249108659</v>
      </c>
      <c r="L98" s="21">
        <v>44.885760837346709</v>
      </c>
      <c r="N98" s="21">
        <v>194</v>
      </c>
      <c r="O98" s="21">
        <v>15</v>
      </c>
      <c r="P98" s="21">
        <v>12</v>
      </c>
      <c r="Q98" s="21">
        <v>12</v>
      </c>
      <c r="R98" s="21">
        <v>23.019288645690899</v>
      </c>
      <c r="S98" s="21">
        <v>32.366621067031467</v>
      </c>
      <c r="T98" s="21">
        <v>754</v>
      </c>
      <c r="U98">
        <v>11.76125</v>
      </c>
      <c r="V98">
        <v>12.68411764705882</v>
      </c>
      <c r="AF98">
        <v>2406.444177196875</v>
      </c>
      <c r="AG98">
        <v>2568.6144443333328</v>
      </c>
      <c r="AQ98">
        <v>161.8235294117647</v>
      </c>
      <c r="AR98">
        <v>173</v>
      </c>
      <c r="BG98" s="28">
        <v>0</v>
      </c>
      <c r="BH98" s="28">
        <v>0</v>
      </c>
      <c r="BI98" s="28">
        <v>0</v>
      </c>
      <c r="BJ98" s="28">
        <v>0</v>
      </c>
      <c r="BK98" s="28">
        <v>0</v>
      </c>
      <c r="BO98">
        <v>11.95432540384247</v>
      </c>
      <c r="BP98">
        <v>12.7947456356986</v>
      </c>
      <c r="BZ98">
        <v>11</v>
      </c>
      <c r="CA98">
        <v>13</v>
      </c>
      <c r="CB98">
        <v>15</v>
      </c>
    </row>
    <row r="99" spans="2:83" x14ac:dyDescent="0.3">
      <c r="B99" s="21" t="s">
        <v>206</v>
      </c>
      <c r="C99" s="21" t="s">
        <v>98</v>
      </c>
      <c r="D99" s="21">
        <v>40</v>
      </c>
      <c r="E99" s="21">
        <v>1.708</v>
      </c>
      <c r="F99" s="21">
        <v>65.2</v>
      </c>
      <c r="G99" s="21">
        <v>3</v>
      </c>
      <c r="H99" s="21">
        <v>30</v>
      </c>
      <c r="J99" s="5">
        <v>3.8194444444444448E-2</v>
      </c>
      <c r="K99" s="21">
        <v>11.861072029076601</v>
      </c>
      <c r="L99" s="21">
        <v>39.693520883537829</v>
      </c>
      <c r="N99" s="21">
        <v>159</v>
      </c>
      <c r="O99" s="21">
        <v>15</v>
      </c>
      <c r="P99" s="21">
        <v>13</v>
      </c>
      <c r="Q99" s="21">
        <v>13</v>
      </c>
      <c r="R99" s="21">
        <v>21.798052851182089</v>
      </c>
      <c r="S99" s="21">
        <v>37.764951321279547</v>
      </c>
      <c r="T99" s="21">
        <v>750</v>
      </c>
      <c r="U99">
        <v>9.586818181818181</v>
      </c>
      <c r="V99">
        <v>10.444444444444439</v>
      </c>
      <c r="AF99">
        <v>1945.7208318045459</v>
      </c>
      <c r="AG99">
        <v>2110.6844124703698</v>
      </c>
      <c r="AQ99">
        <v>117.3478260869565</v>
      </c>
      <c r="AR99">
        <v>131.21428571428569</v>
      </c>
      <c r="BB99">
        <v>0.18241479442545119</v>
      </c>
      <c r="BC99">
        <v>0.40695500122731698</v>
      </c>
      <c r="BD99">
        <v>0.40466170780497179</v>
      </c>
      <c r="BE99">
        <v>0.39469064023291628</v>
      </c>
      <c r="BF99">
        <v>0.39038515783440803</v>
      </c>
      <c r="BG99" s="28">
        <v>0.95238098818063732</v>
      </c>
      <c r="BH99" s="28">
        <v>0.94917246320843696</v>
      </c>
      <c r="BI99" s="28">
        <v>0.26309935432437281</v>
      </c>
      <c r="BJ99" s="28">
        <v>0.25828224507646391</v>
      </c>
      <c r="BK99" s="28">
        <v>0.75722327430546277</v>
      </c>
      <c r="BL99" s="27">
        <v>1.357638888888889E-2</v>
      </c>
      <c r="BM99">
        <v>19</v>
      </c>
      <c r="BN99">
        <v>6.4</v>
      </c>
      <c r="BO99">
        <v>9.6984887759081229</v>
      </c>
      <c r="BP99">
        <v>10.552389174930401</v>
      </c>
      <c r="BZ99">
        <v>10</v>
      </c>
      <c r="CA99">
        <v>11</v>
      </c>
      <c r="CB99">
        <v>13</v>
      </c>
      <c r="CC99">
        <v>15</v>
      </c>
      <c r="CD99">
        <v>20</v>
      </c>
    </row>
    <row r="100" spans="2:83" x14ac:dyDescent="0.3">
      <c r="B100" s="21" t="s">
        <v>207</v>
      </c>
      <c r="C100" s="21" t="s">
        <v>98</v>
      </c>
      <c r="D100" s="21">
        <v>35</v>
      </c>
      <c r="E100" s="21">
        <v>1.603</v>
      </c>
      <c r="F100" s="21">
        <v>57.5</v>
      </c>
      <c r="G100" s="21">
        <v>3</v>
      </c>
      <c r="H100" s="21">
        <v>30</v>
      </c>
      <c r="I100" s="21" t="s">
        <v>94</v>
      </c>
      <c r="J100" s="5">
        <v>3.6111111111111108E-2</v>
      </c>
      <c r="K100" s="21">
        <v>12.69278263917611</v>
      </c>
      <c r="L100" s="21">
        <v>46.007159428057967</v>
      </c>
      <c r="N100" s="21">
        <v>185</v>
      </c>
      <c r="O100" s="21">
        <v>19</v>
      </c>
      <c r="P100" s="21">
        <v>14</v>
      </c>
      <c r="Q100" s="21">
        <v>14</v>
      </c>
      <c r="R100" s="21">
        <v>22.23587443946176</v>
      </c>
      <c r="S100" s="21">
        <v>32.838565022421527</v>
      </c>
      <c r="T100" s="21">
        <v>748.11547085201789</v>
      </c>
      <c r="V100">
        <v>11.503076923076931</v>
      </c>
      <c r="W100">
        <v>11.900645161290321</v>
      </c>
      <c r="AG100">
        <v>2332.458904099999</v>
      </c>
      <c r="AH100">
        <v>2387.2483421656261</v>
      </c>
      <c r="AR100">
        <v>158.21428571428569</v>
      </c>
      <c r="AS100">
        <v>166.375</v>
      </c>
      <c r="BB100">
        <v>0.15402939527975201</v>
      </c>
      <c r="BC100">
        <v>0.39703921256868879</v>
      </c>
      <c r="BD100">
        <v>0.39861898012275088</v>
      </c>
      <c r="BE100">
        <v>0.37259479108025573</v>
      </c>
      <c r="BF100">
        <v>0.37676996214438518</v>
      </c>
      <c r="BG100" s="28">
        <v>0.91530227577686307</v>
      </c>
      <c r="BH100" s="28">
        <v>0.91564402046799664</v>
      </c>
      <c r="BI100" s="28">
        <v>0.25028006503467032</v>
      </c>
      <c r="BJ100" s="28">
        <v>0.24484394731620079</v>
      </c>
      <c r="BK100" s="28">
        <v>0.68752685187757012</v>
      </c>
      <c r="BL100" s="27">
        <v>6.7245370370370367E-3</v>
      </c>
      <c r="BM100">
        <v>20</v>
      </c>
      <c r="BN100">
        <v>8.1999999999999993</v>
      </c>
      <c r="BP100">
        <v>11.644660923636859</v>
      </c>
      <c r="BQ100">
        <v>11.952534944925899</v>
      </c>
      <c r="BZ100">
        <v>8</v>
      </c>
      <c r="CA100">
        <v>10</v>
      </c>
      <c r="CB100">
        <v>13</v>
      </c>
      <c r="CC100">
        <v>15</v>
      </c>
      <c r="CD100">
        <v>19</v>
      </c>
    </row>
    <row r="101" spans="2:83" x14ac:dyDescent="0.3">
      <c r="B101" s="21" t="s">
        <v>208</v>
      </c>
      <c r="C101" s="21" t="s">
        <v>98</v>
      </c>
      <c r="D101" s="21">
        <v>44</v>
      </c>
      <c r="E101" s="21">
        <v>1.746</v>
      </c>
      <c r="F101" s="21">
        <v>72.5</v>
      </c>
      <c r="G101" s="21">
        <v>4</v>
      </c>
      <c r="H101" s="21">
        <v>35</v>
      </c>
      <c r="I101" s="21" t="s">
        <v>94</v>
      </c>
      <c r="J101" s="5">
        <v>3.3680555555555547E-2</v>
      </c>
      <c r="K101" s="21">
        <v>12.55304952140899</v>
      </c>
      <c r="L101" s="21">
        <v>38.535849978666668</v>
      </c>
      <c r="N101" s="21">
        <v>178</v>
      </c>
      <c r="O101" s="21">
        <v>19</v>
      </c>
      <c r="P101" s="21">
        <v>14</v>
      </c>
      <c r="Q101" s="21">
        <v>14</v>
      </c>
      <c r="R101" s="21">
        <v>23.320845070422521</v>
      </c>
      <c r="S101" s="21">
        <v>28.686384976525819</v>
      </c>
      <c r="T101" s="21">
        <v>751</v>
      </c>
      <c r="U101">
        <v>11.63103448275862</v>
      </c>
      <c r="V101">
        <v>12.098857142857151</v>
      </c>
      <c r="W101">
        <v>13.043125</v>
      </c>
      <c r="AF101">
        <v>2341.1249786533331</v>
      </c>
      <c r="AG101">
        <v>2400.818177628571</v>
      </c>
      <c r="AH101">
        <v>2573.4889544812499</v>
      </c>
      <c r="AQ101">
        <v>143.34375</v>
      </c>
      <c r="AR101">
        <v>151.5</v>
      </c>
      <c r="AS101">
        <v>159.85294117647061</v>
      </c>
      <c r="BB101">
        <v>0.1837740670861398</v>
      </c>
      <c r="BC101">
        <v>0.43312771059950123</v>
      </c>
      <c r="BD101">
        <v>0.44114089852999688</v>
      </c>
      <c r="BE101">
        <v>0.41439292667184452</v>
      </c>
      <c r="BF101">
        <v>0.42029207814788028</v>
      </c>
      <c r="BG101" s="28">
        <v>0.99687896758317951</v>
      </c>
      <c r="BH101" s="28">
        <v>1.0076653780341149</v>
      </c>
      <c r="BI101" s="28">
        <v>0.26576486130652333</v>
      </c>
      <c r="BJ101" s="28">
        <v>0.26347088625434728</v>
      </c>
      <c r="BK101" s="28">
        <v>0.74372782719135277</v>
      </c>
      <c r="BL101" s="27">
        <v>8.9004629629629625E-3</v>
      </c>
      <c r="BM101">
        <v>19</v>
      </c>
      <c r="BN101">
        <v>6.1</v>
      </c>
      <c r="BO101">
        <v>11.70641191261849</v>
      </c>
      <c r="BP101">
        <v>12.13159410414956</v>
      </c>
      <c r="BQ101">
        <v>13.0439058651303</v>
      </c>
      <c r="BZ101">
        <v>10</v>
      </c>
      <c r="CA101">
        <v>11</v>
      </c>
      <c r="CB101">
        <v>14</v>
      </c>
      <c r="CC101">
        <v>16</v>
      </c>
      <c r="CD101">
        <v>19</v>
      </c>
    </row>
    <row r="102" spans="2:83" x14ac:dyDescent="0.3">
      <c r="B102" s="21" t="s">
        <v>209</v>
      </c>
      <c r="C102" s="21" t="s">
        <v>98</v>
      </c>
      <c r="D102" s="21">
        <v>45</v>
      </c>
      <c r="E102" s="21">
        <v>1.631</v>
      </c>
      <c r="F102" s="21">
        <v>56.8</v>
      </c>
      <c r="G102" s="21">
        <v>6</v>
      </c>
      <c r="H102" s="21">
        <v>55.6</v>
      </c>
      <c r="I102" s="21" t="s">
        <v>94</v>
      </c>
      <c r="J102" s="5">
        <v>2.8472222222222222E-2</v>
      </c>
      <c r="K102" s="21">
        <v>13.344425838128201</v>
      </c>
      <c r="L102" s="21">
        <v>49.421791907981209</v>
      </c>
      <c r="N102" s="21">
        <v>163</v>
      </c>
      <c r="O102" s="21">
        <v>19</v>
      </c>
      <c r="P102" s="21">
        <v>15</v>
      </c>
      <c r="Q102" s="21">
        <v>15</v>
      </c>
      <c r="R102" s="21">
        <v>22.883377077864939</v>
      </c>
      <c r="S102" s="21">
        <v>25.358705161854768</v>
      </c>
      <c r="T102" s="21">
        <v>755</v>
      </c>
      <c r="U102">
        <v>9.588636363636363</v>
      </c>
      <c r="V102">
        <v>10.81444444444444</v>
      </c>
      <c r="W102">
        <v>11.29</v>
      </c>
      <c r="X102">
        <v>12.24259259259259</v>
      </c>
      <c r="AF102">
        <v>2015.2082003652181</v>
      </c>
      <c r="AG102">
        <v>2226.5934669703711</v>
      </c>
      <c r="AH102">
        <v>2318.5762416035718</v>
      </c>
      <c r="AI102">
        <v>2494.85184417037</v>
      </c>
      <c r="AQ102">
        <v>127.4166666666667</v>
      </c>
      <c r="AR102">
        <v>139.55172413793099</v>
      </c>
      <c r="AS102">
        <v>146.48275862068971</v>
      </c>
      <c r="AT102">
        <v>152.64285714285711</v>
      </c>
      <c r="BB102">
        <v>0.150269158988344</v>
      </c>
      <c r="BC102">
        <v>0.42007739652903342</v>
      </c>
      <c r="BD102">
        <v>0.4271143876352923</v>
      </c>
      <c r="BE102">
        <v>0.37795429695343458</v>
      </c>
      <c r="BF102">
        <v>0.37475494344890159</v>
      </c>
      <c r="BG102" s="28">
        <v>0.93826365447044369</v>
      </c>
      <c r="BH102" s="28">
        <v>0.93663356617093085</v>
      </c>
      <c r="BI102" s="28">
        <v>0.24935304063885541</v>
      </c>
      <c r="BJ102" s="28">
        <v>0.2496620503976405</v>
      </c>
      <c r="BK102" s="28">
        <v>0.69355138967931274</v>
      </c>
      <c r="BO102">
        <v>9.8171887463902738</v>
      </c>
      <c r="BP102">
        <v>11.072686835076549</v>
      </c>
      <c r="BQ102">
        <v>11.70507528235704</v>
      </c>
      <c r="BR102">
        <v>12.38525534025097</v>
      </c>
      <c r="BZ102">
        <v>7</v>
      </c>
      <c r="CA102">
        <v>11</v>
      </c>
      <c r="CB102">
        <v>11</v>
      </c>
      <c r="CC102">
        <v>12</v>
      </c>
      <c r="CD102">
        <v>14</v>
      </c>
      <c r="CE102">
        <v>19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E14"/>
  <sheetViews>
    <sheetView topLeftCell="C10" zoomScale="110" zoomScaleNormal="110" workbookViewId="0">
      <selection activeCell="BD7" sqref="BD7"/>
    </sheetView>
  </sheetViews>
  <sheetFormatPr defaultRowHeight="14.4" x14ac:dyDescent="0.3"/>
  <cols>
    <col min="2" max="2" width="13.109375" style="15" bestFit="1" customWidth="1"/>
    <col min="3" max="3" width="6.33203125" style="15" customWidth="1"/>
    <col min="4" max="4" width="9" style="15" bestFit="1" customWidth="1"/>
    <col min="5" max="5" width="9.44140625" style="15" bestFit="1" customWidth="1"/>
    <col min="6" max="6" width="9" style="15" bestFit="1" customWidth="1"/>
    <col min="7" max="7" width="12" style="15" customWidth="1"/>
    <col min="8" max="8" width="6.33203125" style="15" bestFit="1" customWidth="1"/>
    <col min="9" max="9" width="11.6640625" style="15" customWidth="1"/>
    <col min="10" max="10" width="21.6640625" style="15" bestFit="1" customWidth="1"/>
    <col min="11" max="11" width="14.109375" style="15" customWidth="1"/>
    <col min="12" max="12" width="11.109375" style="15" bestFit="1" customWidth="1"/>
    <col min="13" max="13" width="11.109375" style="15" customWidth="1"/>
    <col min="14" max="14" width="9.88671875" style="15" bestFit="1" customWidth="1"/>
    <col min="15" max="15" width="9.44140625" style="15" bestFit="1" customWidth="1"/>
    <col min="16" max="16" width="6.33203125" style="15" bestFit="1" customWidth="1"/>
    <col min="17" max="17" width="13.6640625" style="15" bestFit="1" customWidth="1"/>
    <col min="19" max="19" width="13.6640625" style="15" bestFit="1" customWidth="1"/>
    <col min="53" max="53" width="12.6640625" style="15" customWidth="1"/>
  </cols>
  <sheetData>
    <row r="1" spans="2:57" ht="15" customHeight="1" thickBot="1" x14ac:dyDescent="0.35"/>
    <row r="2" spans="2:57" ht="29.25" customHeight="1" thickBot="1" x14ac:dyDescent="0.35">
      <c r="B2" s="1" t="s">
        <v>210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8</v>
      </c>
      <c r="O2" s="2"/>
      <c r="P2" s="2" t="s">
        <v>9</v>
      </c>
      <c r="Q2" s="2"/>
      <c r="R2" s="2" t="s">
        <v>10</v>
      </c>
      <c r="S2" s="3"/>
      <c r="T2" s="10" t="s">
        <v>16</v>
      </c>
      <c r="U2" s="12"/>
      <c r="V2" s="10" t="s">
        <v>17</v>
      </c>
      <c r="W2" s="12"/>
      <c r="X2" s="10" t="s">
        <v>18</v>
      </c>
      <c r="Y2" s="11"/>
      <c r="Z2" s="16" t="s">
        <v>211</v>
      </c>
      <c r="AA2" s="17"/>
      <c r="AB2" s="16"/>
      <c r="AC2" s="17"/>
      <c r="AD2" s="16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8"/>
      <c r="AP2" s="10" t="s">
        <v>212</v>
      </c>
      <c r="AQ2" s="12"/>
      <c r="AR2" s="10"/>
      <c r="AS2" s="12"/>
      <c r="AT2" s="10"/>
      <c r="AU2" s="12"/>
      <c r="AV2" s="12"/>
      <c r="AW2" s="12"/>
      <c r="AX2" s="12"/>
      <c r="AY2" s="12"/>
      <c r="AZ2" s="12"/>
      <c r="BA2" s="24" t="s">
        <v>16</v>
      </c>
      <c r="BB2" s="25"/>
      <c r="BC2" s="24" t="s">
        <v>213</v>
      </c>
      <c r="BD2" s="24"/>
      <c r="BE2" s="21"/>
    </row>
    <row r="3" spans="2:57" x14ac:dyDescent="0.3">
      <c r="B3" s="4"/>
      <c r="C3" s="4" t="s">
        <v>214</v>
      </c>
      <c r="D3" s="4" t="s">
        <v>215</v>
      </c>
      <c r="E3" s="4" t="s">
        <v>216</v>
      </c>
      <c r="F3" s="4" t="s">
        <v>215</v>
      </c>
      <c r="G3" s="4" t="s">
        <v>216</v>
      </c>
      <c r="H3" s="4" t="s">
        <v>215</v>
      </c>
      <c r="I3" s="4" t="s">
        <v>216</v>
      </c>
      <c r="J3" s="4" t="s">
        <v>215</v>
      </c>
      <c r="K3" s="4" t="s">
        <v>216</v>
      </c>
      <c r="L3" s="4" t="s">
        <v>215</v>
      </c>
      <c r="M3" s="4" t="s">
        <v>216</v>
      </c>
      <c r="N3" s="4" t="s">
        <v>215</v>
      </c>
      <c r="O3" s="4" t="s">
        <v>216</v>
      </c>
      <c r="P3" s="4" t="s">
        <v>215</v>
      </c>
      <c r="Q3" s="4" t="s">
        <v>216</v>
      </c>
      <c r="R3" s="4" t="s">
        <v>215</v>
      </c>
      <c r="S3" s="4" t="s">
        <v>216</v>
      </c>
      <c r="T3" s="13" t="s">
        <v>215</v>
      </c>
      <c r="U3" s="13" t="s">
        <v>216</v>
      </c>
      <c r="V3" s="13" t="s">
        <v>215</v>
      </c>
      <c r="W3" s="13" t="s">
        <v>216</v>
      </c>
      <c r="X3" s="13" t="s">
        <v>215</v>
      </c>
      <c r="Y3" s="13" t="s">
        <v>216</v>
      </c>
      <c r="Z3" s="19">
        <v>10</v>
      </c>
      <c r="AA3" s="19">
        <v>11</v>
      </c>
      <c r="AB3" s="19">
        <v>12</v>
      </c>
      <c r="AC3" s="19">
        <v>13</v>
      </c>
      <c r="AD3" s="19">
        <v>14</v>
      </c>
      <c r="AE3" s="19">
        <v>15</v>
      </c>
      <c r="AF3" s="19">
        <v>16</v>
      </c>
      <c r="AG3" s="19">
        <v>17</v>
      </c>
      <c r="AH3" s="19">
        <v>18</v>
      </c>
      <c r="AI3" s="19">
        <v>19</v>
      </c>
      <c r="AJ3" s="19">
        <v>20</v>
      </c>
      <c r="AK3" s="19">
        <v>21</v>
      </c>
      <c r="AL3" s="19">
        <v>22</v>
      </c>
      <c r="AM3" s="19">
        <v>23</v>
      </c>
      <c r="AN3" s="19">
        <v>24</v>
      </c>
      <c r="AO3" s="19">
        <v>25</v>
      </c>
      <c r="AP3" s="13">
        <v>10</v>
      </c>
      <c r="AQ3" s="13">
        <v>11</v>
      </c>
      <c r="AR3" s="13">
        <v>12</v>
      </c>
      <c r="AS3" s="13">
        <v>13</v>
      </c>
      <c r="AT3" s="13">
        <v>14</v>
      </c>
      <c r="AU3" s="13">
        <v>15</v>
      </c>
      <c r="AV3" s="13">
        <v>16</v>
      </c>
      <c r="AW3" s="13">
        <v>17</v>
      </c>
      <c r="AX3" s="13">
        <v>18</v>
      </c>
      <c r="AY3" s="13">
        <v>19</v>
      </c>
      <c r="AZ3" s="13">
        <v>20</v>
      </c>
      <c r="BA3" s="26" t="s">
        <v>215</v>
      </c>
      <c r="BB3" s="26" t="s">
        <v>216</v>
      </c>
      <c r="BC3" s="26" t="s">
        <v>215</v>
      </c>
      <c r="BD3" s="26" t="s">
        <v>216</v>
      </c>
      <c r="BE3" s="20"/>
    </row>
    <row r="4" spans="2:57" x14ac:dyDescent="0.3">
      <c r="B4" s="21" t="s">
        <v>98</v>
      </c>
      <c r="C4" s="21">
        <f>COUNTIF(Sheet1!C:C, "Female")</f>
        <v>50</v>
      </c>
      <c r="D4" s="21">
        <f>AVERAGEIF(Sheet1!C:C,"Female",Sheet1!D:D)</f>
        <v>33.96</v>
      </c>
      <c r="E4" s="21">
        <f t="array" ref="E4">STDEV(IF(Sheet1!$C:$C="Female",Sheet1!$D:$D,""))</f>
        <v>9.7435693078636643</v>
      </c>
      <c r="F4" s="21">
        <f>AVERAGEIF(Sheet1!C:C,"Female",Sheet1!E:E)</f>
        <v>1.6582000000000001</v>
      </c>
      <c r="G4" s="21">
        <f t="array" ref="G4">STDEV(IF(Sheet1!$C:$C="Female",Sheet1!$E:$E,""))</f>
        <v>6.0487812906436636E-2</v>
      </c>
      <c r="H4" s="21">
        <f>AVERAGEIF(Sheet1!C:C,"Female",Sheet1!F:F)</f>
        <v>58.438000000000002</v>
      </c>
      <c r="I4" s="21">
        <f t="array" ref="I4">STDEV(IF(Sheet1!$C:$C="Female",Sheet1!$F:$F,""))</f>
        <v>6.1720532091296221</v>
      </c>
      <c r="J4" s="21">
        <f>AVERAGEIF(Sheet1!C:C,"Female",Sheet1!G:G)</f>
        <v>4.5</v>
      </c>
      <c r="K4" s="21">
        <f t="array" ref="K4">STDEV(IF(Sheet1!$C:$C="Female",Sheet1!$G:$G,""))</f>
        <v>1.4033487645991787</v>
      </c>
      <c r="L4" s="21">
        <f>AVERAGEIF(Sheet1!C:C,"Female",Sheet1!H:H)</f>
        <v>48.591999999999999</v>
      </c>
      <c r="M4" s="21">
        <f t="array" ref="M4">STDEV(IF(Sheet1!$C:$C="Female",Sheet1!$H:$H,""))</f>
        <v>25.557952075346613</v>
      </c>
      <c r="N4" s="7">
        <f>AVERAGEIF(Sheet1!C:C,"Female",Sheet1!J:J)</f>
        <v>3.1660648148148146E-2</v>
      </c>
      <c r="O4" s="7">
        <f t="array" ref="O4">STDEV(IF(Sheet1!$C:$C="Female",Sheet1!$J:$J,""))</f>
        <v>4.3475372270655871E-3</v>
      </c>
      <c r="P4" s="21">
        <f>AVERAGEIF(Sheet1!C:C,"Female",Sheet1!K:K)</f>
        <v>13.103589433426853</v>
      </c>
      <c r="Q4" s="21">
        <f t="array" ref="Q4">STDEV(IF(Sheet1!$C:$C="Female",Sheet1!$K:$K,""))</f>
        <v>1.1488887707002815</v>
      </c>
      <c r="R4" s="21">
        <f>AVERAGEIF(Sheet1!C:C,"Female",Sheet1!L:L)</f>
        <v>48.56363400907847</v>
      </c>
      <c r="S4" s="21">
        <f t="array" ref="S4">STDEV(IF(Sheet1!$C:$C="Female",Sheet1!$L:$L,""))</f>
        <v>6.0927179400592646</v>
      </c>
      <c r="T4" s="21"/>
      <c r="U4" s="21"/>
      <c r="V4" s="21"/>
      <c r="W4" s="21"/>
      <c r="X4" s="21"/>
      <c r="Y4" s="21"/>
      <c r="Z4" s="21">
        <f>COUNTIFS(Sheet1!C3:C114, "=Male", Sheet1!P3:P114, "&gt;=10")</f>
        <v>50</v>
      </c>
      <c r="AA4" s="21">
        <f>COUNTIFS(Sheet1!C3:C114, "=Male", Sheet1!P3:P114, "&gt;=11")</f>
        <v>50</v>
      </c>
      <c r="AB4" s="21">
        <f>COUNTIFS(Sheet1!C3:C114, "=Male", Sheet1!P3:P114, "&gt;=12")</f>
        <v>50</v>
      </c>
      <c r="AC4" s="21">
        <f>COUNTIFS(Sheet1!C3:C114, "=Male", Sheet1!P3:P114, "&gt;=13")</f>
        <v>50</v>
      </c>
      <c r="AD4" s="21">
        <f>COUNTIFS(Sheet1!C3:C114, "=Male", Sheet1!P3:P114, "&gt;=14")</f>
        <v>50</v>
      </c>
      <c r="AE4" s="21">
        <f>COUNTIFS(Sheet1!C3:C114, "=Male", Sheet1!P3:P114, "&gt;=15")</f>
        <v>48</v>
      </c>
      <c r="AF4">
        <f>COUNTIFS(Sheet1!C3:C114, "=Male", Sheet1!P3:P114, "&gt;=16")</f>
        <v>41</v>
      </c>
      <c r="AG4">
        <f>COUNTIFS(Sheet1!C3:C114, "=Male", Sheet1!P3:P114, "&gt;=17")</f>
        <v>30</v>
      </c>
      <c r="AH4">
        <f>COUNTIFS(Sheet1!C3:C114, "=Male", Sheet1!P3:P114, "&gt;=18")</f>
        <v>11</v>
      </c>
      <c r="AI4">
        <f>COUNTIFS(Sheet1!C3:C114, "=Male", Sheet1!P3:P114, "&gt;=19")</f>
        <v>2</v>
      </c>
      <c r="AJ4">
        <f>COUNTIFS(Sheet1!C3:C114, "=Male", Sheet1!P3:P114, "&gt;=20")</f>
        <v>1</v>
      </c>
      <c r="AK4">
        <f>COUNTIFS(Sheet1!C3:C114, "=Male", Sheet1!P3:P114, "&gt;=21")</f>
        <v>0</v>
      </c>
      <c r="AL4">
        <f>COUNTIFS(Sheet1!C3:C114, "=Male", Sheet1!P3:P114, "&gt;=22")</f>
        <v>0</v>
      </c>
      <c r="AM4">
        <f>COUNTIFS(Sheet1!C3:C114, "=Male", Sheet1!P3:P114, "&gt;=23")</f>
        <v>0</v>
      </c>
      <c r="AN4">
        <f>COUNTIFS(Sheet1!C3:C114, "=Male", Sheet1!P3:P114, "&gt;=24")</f>
        <v>0</v>
      </c>
      <c r="AO4">
        <f>COUNTIFS(Sheet1!C3:C114, "=Male", Sheet1!P3:P114, "&gt;=25")</f>
        <v>0</v>
      </c>
      <c r="AP4" s="21">
        <f>COUNTIFS(Sheet1!$C$3:$C$114, "=Male", Sheet1!U3:U114, "&lt;&gt;")</f>
        <v>50</v>
      </c>
      <c r="AQ4" s="21">
        <f>COUNTIFS(Sheet1!$C$3:$C$114, "=Male", Sheet1!V3:V114, "&lt;&gt;")</f>
        <v>50</v>
      </c>
      <c r="AR4" s="21">
        <f>COUNTIFS(Sheet1!$C$3:$C$114, "=Male", Sheet1!W3:W114, "&lt;&gt;")</f>
        <v>49</v>
      </c>
      <c r="AS4" s="21">
        <f>COUNTIFS(Sheet1!$C$3:$C$114, "=Male", Sheet1!X3:X114, "&lt;&gt;")</f>
        <v>45</v>
      </c>
      <c r="AT4" s="21">
        <f>COUNTIFS(Sheet1!$C$3:$C$114, "=Male", Sheet1!Y3:Y114, "&lt;&gt;")</f>
        <v>36</v>
      </c>
      <c r="AU4" s="21">
        <f>COUNTIFS(Sheet1!$C$3:$C$114, "=Male", Sheet1!Z3:Z114, "&lt;&gt;")</f>
        <v>13</v>
      </c>
      <c r="AV4" s="21">
        <f>COUNTIFS(Sheet1!$C$3:$C$114, "=Male", Sheet1!AA3:AA114, "&lt;&gt;")</f>
        <v>2</v>
      </c>
      <c r="AW4" s="21">
        <f>COUNTIFS(Sheet1!$C$3:$C$114, "=Male", Sheet1!AB3:AB114, "&lt;&gt;")</f>
        <v>1</v>
      </c>
      <c r="AX4" s="21">
        <f>COUNTIFS(Sheet1!$C$3:$C$114, "=Male", Sheet1!AC3:AC114, "&lt;&gt;")</f>
        <v>0</v>
      </c>
      <c r="AY4" s="21">
        <f>COUNTIFS(Sheet1!$C$3:$C$114, "=Male", Sheet1!AD3:AD114, "&lt;&gt;")</f>
        <v>0</v>
      </c>
      <c r="AZ4" s="21">
        <f>COUNTIFS(Sheet1!$C$3:$C$114, "=Male", Sheet1!AE3:AE114, "&lt;&gt;")</f>
        <v>0</v>
      </c>
    </row>
    <row r="5" spans="2:57" x14ac:dyDescent="0.3">
      <c r="B5" s="21" t="s">
        <v>93</v>
      </c>
      <c r="C5" s="21">
        <f>COUNTIF(Sheet1!C:C, "Male")</f>
        <v>50</v>
      </c>
      <c r="D5" s="21">
        <f>AVERAGEIF(Sheet1!C:C,"Male",Sheet1!D:D)</f>
        <v>34.880000000000003</v>
      </c>
      <c r="E5" s="21">
        <f t="array" ref="E5">STDEV(IF(Sheet1!$C:$C="Male",Sheet1!$D:$D,""))</f>
        <v>9.7512741187383032</v>
      </c>
      <c r="F5" s="21">
        <f>AVERAGEIF(Sheet1!C:C,"Male",Sheet1!E:E)</f>
        <v>1.7907999999999995</v>
      </c>
      <c r="G5" s="21">
        <f t="array" ref="G5">STDEV(IF(Sheet1!$C:$C="Male",Sheet1!$E:$E,""))</f>
        <v>5.6513317917468074E-2</v>
      </c>
      <c r="H5" s="21">
        <f>AVERAGEIF(Sheet1!C:C,"Male",Sheet1!F:F)</f>
        <v>73.010000000000005</v>
      </c>
      <c r="I5" s="21">
        <f>STDEV(IF(Sheet1!$C:$C="Male",Sheet1!$F:$F,""))</f>
        <v>9.8410818983126092</v>
      </c>
      <c r="J5" s="21">
        <f>AVERAGEIF(Sheet1!C:C,"Male",Sheet1!G:G)</f>
        <v>4.08</v>
      </c>
      <c r="K5" s="21">
        <f t="array" ref="K5">STDEV(IF(Sheet1!$C:$C="Male",Sheet1!$G:$G,""))</f>
        <v>1.4685825458167308</v>
      </c>
      <c r="L5" s="21">
        <f>AVERAGEIF(Sheet1!C:C,"Male",Sheet1!H:H)</f>
        <v>42.483999999999995</v>
      </c>
      <c r="M5" s="21">
        <f t="array" ref="M5">STDEV(IF(Sheet1!$C:$C="Male",Sheet1!$H:$H,""))</f>
        <v>24.699800544514034</v>
      </c>
      <c r="N5" s="7">
        <f>AVERAGEIF(Sheet1!C:C,"Male",Sheet1!J:J)</f>
        <v>2.7729629629629625E-2</v>
      </c>
      <c r="O5" s="7">
        <f t="array" ref="O5">STDEV(IF(Sheet1!$C:$C="Male",Sheet1!$J:$J,""))</f>
        <v>2.7598364758430528E-3</v>
      </c>
      <c r="P5" s="21">
        <f>AVERAGEIF(Sheet1!C:C,"Male",Sheet1!K:K)</f>
        <v>14.398140142136061</v>
      </c>
      <c r="Q5" s="21">
        <f t="array" ref="Q5">STDEV(IF(Sheet1!$C:$C="Male",Sheet1!$K:$K,""))</f>
        <v>0.96241900891884191</v>
      </c>
      <c r="R5" s="21">
        <f>AVERAGEIF(Sheet1!C:C,"Male",Sheet1!L:L)</f>
        <v>52.32680841804094</v>
      </c>
      <c r="S5" s="21">
        <f t="array" ref="S5">STDEV(IF(Sheet1!$C:$C="Male",Sheet1!$L:$L,""))</f>
        <v>7.0059610361816871</v>
      </c>
      <c r="T5" s="21"/>
      <c r="U5" s="21"/>
      <c r="V5" s="21"/>
      <c r="W5" s="21"/>
      <c r="X5" s="21"/>
      <c r="Y5" s="21"/>
      <c r="Z5" s="21">
        <f>COUNTIFS(Sheet1!C3:C114, "=Female", Sheet1!P3:P114, "&gt;=10")</f>
        <v>50</v>
      </c>
      <c r="AA5" s="21">
        <f>COUNTIFS(Sheet1!C3:C114, "=Female", Sheet1!P3:P114, "&gt;=11")</f>
        <v>50</v>
      </c>
      <c r="AB5" s="21">
        <f>COUNTIFS(Sheet1!C3:C114, "=Female", Sheet1!P3:P114, "&gt;=12")</f>
        <v>50</v>
      </c>
      <c r="AC5" s="21">
        <f>COUNTIFS(Sheet1!C3:C114, "=Female", Sheet1!P3:P114, "&gt;=13")</f>
        <v>47</v>
      </c>
      <c r="AD5" s="21">
        <f>COUNTIFS(Sheet1!C3:C114, "=Female", Sheet1!P3:P114, "&gt;=14")</f>
        <v>37</v>
      </c>
      <c r="AE5" s="21">
        <f>COUNTIFS(Sheet1!C3:C114, "=Female", Sheet1!P3:P114, "&gt;=15")</f>
        <v>27</v>
      </c>
      <c r="AF5">
        <f>COUNTIFS(Sheet1!C3:C114, "=Female", Sheet1!P3:P114, "&gt;=16")</f>
        <v>17</v>
      </c>
      <c r="AG5">
        <f>COUNTIFS(Sheet1!C3:C114, "=Female", Sheet1!P3:P114, "&gt;=17")</f>
        <v>9</v>
      </c>
      <c r="AH5">
        <f>COUNTIFS(Sheet1!C3:C114, "=Female", Sheet1!P3:P114, "&gt;=18")</f>
        <v>1</v>
      </c>
      <c r="AI5">
        <f>COUNTIFS(Sheet1!C3:C114, "=Female", Sheet1!P3:P114, "&gt;=19")</f>
        <v>0</v>
      </c>
      <c r="AJ5">
        <f>COUNTIFS(Sheet1!C3:C114, "=Female", Sheet1!P3:P114, "&gt;=20")</f>
        <v>0</v>
      </c>
      <c r="AK5">
        <f>COUNTIFS(Sheet1!C3:C114, "=Female", Sheet1!P3:P114, "&gt;=21")</f>
        <v>0</v>
      </c>
      <c r="AL5">
        <f>COUNTIFS(Sheet1!C3:C114, "=Female", Sheet1!P3:P114, "&gt;=22")</f>
        <v>0</v>
      </c>
      <c r="AM5">
        <f>COUNTIFS(Sheet1!C3:C114, "=Female", Sheet1!P3:P114, "&gt;=23")</f>
        <v>0</v>
      </c>
      <c r="AN5">
        <f>COUNTIFS(Sheet1!C3:C114, "=Female", Sheet1!P3:P114, "&gt;=24")</f>
        <v>0</v>
      </c>
      <c r="AO5">
        <f>COUNTIFS(Sheet1!C3:C114, "=Female", Sheet1!P3:P114, "&gt;=25")</f>
        <v>0</v>
      </c>
      <c r="AP5" s="21">
        <f>COUNTIFS(Sheet1!$C$3:$C$114, "=Female", Sheet1!U3:U114, "&lt;&gt;")</f>
        <v>47</v>
      </c>
      <c r="AQ5" s="21">
        <f>COUNTIFS(Sheet1!$C$3:$C$114, "=Female", Sheet1!V3:V114, "&lt;&gt;")</f>
        <v>50</v>
      </c>
      <c r="AR5" s="21">
        <f>COUNTIFS(Sheet1!$C$3:$C$114, "=Female", Sheet1!W3:W114, "&lt;&gt;")</f>
        <v>36</v>
      </c>
      <c r="AS5" s="21">
        <f>COUNTIFS(Sheet1!$C$3:$C$114, "=Female", Sheet1!X3:X114, "&lt;&gt;")</f>
        <v>27</v>
      </c>
      <c r="AT5" s="21">
        <f>COUNTIFS(Sheet1!$C$3:$C$114, "=Female", Sheet1!Y3:Y114, "&lt;&gt;")</f>
        <v>12</v>
      </c>
      <c r="AU5" s="21">
        <f>COUNTIFS(Sheet1!$C$3:$C$114, "=Female", Sheet1!Z3:Z114, "&lt;&gt;")</f>
        <v>2</v>
      </c>
      <c r="AV5" s="21">
        <f>COUNTIFS(Sheet1!$C$3:$C$114, "=Female", Sheet1!AA3:AA114, "&lt;&gt;")</f>
        <v>0</v>
      </c>
      <c r="AW5" s="21">
        <f>COUNTIFS(Sheet1!$C$3:$C$114, "=Female", Sheet1!AB3:AB114, "&lt;&gt;")</f>
        <v>0</v>
      </c>
      <c r="AX5" s="21">
        <f>COUNTIFS(Sheet1!$C$3:$C$114, "=Female", Sheet1!AC3:AC114, "&lt;&gt;")</f>
        <v>0</v>
      </c>
      <c r="AY5" s="21">
        <f>COUNTIFS(Sheet1!$C$3:$C$114, "=Female", Sheet1!AD3:AD114, "&lt;&gt;")</f>
        <v>0</v>
      </c>
      <c r="AZ5" s="21">
        <f>COUNTIFS(Sheet1!$C$3:$C$114, "=Female", Sheet1!AE3:AE114, "&lt;&gt;")</f>
        <v>0</v>
      </c>
    </row>
    <row r="6" spans="2:57" x14ac:dyDescent="0.3">
      <c r="B6" s="21" t="s">
        <v>217</v>
      </c>
      <c r="C6" s="21">
        <f>C4+C5</f>
        <v>100</v>
      </c>
      <c r="D6" s="21">
        <f>AVERAGE(Sheet1!D:D)</f>
        <v>34.42</v>
      </c>
      <c r="E6" s="21">
        <f>STDEV(Sheet1!D:D)</f>
        <v>9.7090814512116754</v>
      </c>
      <c r="F6" s="21">
        <f>AVERAGE(Sheet1!E:E)</f>
        <v>1.7244999999999999</v>
      </c>
      <c r="G6" s="21">
        <f>STDEV(Sheet1!E:E)</f>
        <v>8.8497160828737736E-2</v>
      </c>
      <c r="H6" s="21">
        <f>AVERAGE(Sheet1!F:F)</f>
        <v>65.723999999999975</v>
      </c>
      <c r="I6" s="21">
        <f>STDEV(Sheet1!F:F)</f>
        <v>9.8410818983126092</v>
      </c>
      <c r="J6" s="21">
        <f>AVERAGE(Sheet1!G:G)</f>
        <v>4.29</v>
      </c>
      <c r="K6" s="21">
        <f>STDEV(Sheet1!G:G)</f>
        <v>1.4445648745444686</v>
      </c>
      <c r="L6" s="21">
        <f>AVERAGE(Sheet1!H:H)</f>
        <v>45.538000000000004</v>
      </c>
      <c r="M6" s="21">
        <f>STDEV(Sheet1!H:H)</f>
        <v>25.19296350374465</v>
      </c>
      <c r="N6" s="7">
        <f>AVERAGE(Sheet1!J:J)</f>
        <v>2.9695138888888882E-2</v>
      </c>
      <c r="O6" s="7">
        <f>STDEV(Sheet1!J:J)</f>
        <v>4.1264039584648689E-3</v>
      </c>
      <c r="P6" s="21">
        <f>AVERAGE(Sheet1!K:K)</f>
        <v>13.750864787781461</v>
      </c>
      <c r="Q6" s="21">
        <f>STDEV(Sheet1!K:K)</f>
        <v>1.2389313189228988</v>
      </c>
      <c r="R6" s="21">
        <f>AVERAGE(Sheet1!L:L)</f>
        <v>50.445221213559719</v>
      </c>
      <c r="S6" s="21">
        <f>STDEV(Sheet1!L:L)</f>
        <v>6.8002283352556558</v>
      </c>
      <c r="T6" s="21">
        <f>AVERAGE(Sheet1!R:R)</f>
        <v>22.0422053848004</v>
      </c>
      <c r="U6" s="21">
        <f>STDEV(Sheet1!R:R)</f>
        <v>1.2042160578840653</v>
      </c>
      <c r="V6" s="21">
        <f>AVERAGE(Sheet1!S:S)</f>
        <v>37.977204175091316</v>
      </c>
      <c r="W6" s="21">
        <f>STDEV(Sheet1!S:S)</f>
        <v>7.8555998165679002</v>
      </c>
      <c r="X6" s="21">
        <f>AVERAGE(Sheet1!T:T)</f>
        <v>745.39560269560593</v>
      </c>
      <c r="Y6" s="21">
        <f>STDEV(Sheet1!T:T)</f>
        <v>10.78794502741775</v>
      </c>
      <c r="Z6" s="21">
        <f>COUNTIF(Sheet1!P3:P114, "&gt;=10")</f>
        <v>100</v>
      </c>
      <c r="AA6" s="21">
        <f>COUNTIF(Sheet1!P3:P114, "&gt;=11")</f>
        <v>100</v>
      </c>
      <c r="AB6" s="21">
        <f>COUNTIF(Sheet1!P3:P114, "&gt;=12")</f>
        <v>100</v>
      </c>
      <c r="AC6" s="21">
        <f>COUNTIF(Sheet1!P3:P114, "&gt;=13")</f>
        <v>97</v>
      </c>
      <c r="AD6" s="21">
        <f>COUNTIF(Sheet1!P3:P114, "&gt;=14")</f>
        <v>87</v>
      </c>
      <c r="AE6" s="21">
        <f>COUNTIF(Sheet1!P3:P114, "&gt;=15")</f>
        <v>75</v>
      </c>
      <c r="AF6" s="21">
        <f>COUNTIF(Sheet1!P3:P114, "&gt;=16")</f>
        <v>58</v>
      </c>
      <c r="AG6" s="21">
        <f>COUNTIF(Sheet1!P3:P114, "&gt;=17")</f>
        <v>39</v>
      </c>
      <c r="AH6" s="21">
        <f>COUNTIF(Sheet1!P3:P114, "&gt;=18")</f>
        <v>12</v>
      </c>
      <c r="AI6" s="21">
        <f>COUNTIF(Sheet1!P3:P114, "&gt;=19")</f>
        <v>2</v>
      </c>
      <c r="AJ6" s="21">
        <f>COUNTIF(Sheet1!P3:P114, "&gt;=20")</f>
        <v>1</v>
      </c>
      <c r="AK6" s="21">
        <f>COUNTIF(Sheet1!P3:P114, "&gt;=21")</f>
        <v>0</v>
      </c>
      <c r="AL6" s="21">
        <f>COUNTIF(Sheet1!P3:P114, "&gt;=22")</f>
        <v>0</v>
      </c>
      <c r="AM6" s="21">
        <f>COUNTIF(Sheet1!P3:P114, "&gt;=23")</f>
        <v>0</v>
      </c>
      <c r="AN6" s="21">
        <f>COUNTIF(Sheet1!P3:P114, "&gt;=24")</f>
        <v>0</v>
      </c>
      <c r="AO6" s="21">
        <f>COUNTIF(Sheet1!P3:P114, "&gt;=25")</f>
        <v>0</v>
      </c>
      <c r="AP6" s="21">
        <f>COUNTIF(Sheet1!U3:U114, "&lt;&gt;")</f>
        <v>97</v>
      </c>
      <c r="AQ6" s="21">
        <f>COUNTIF(Sheet1!V3:V114, "&lt;&gt;")</f>
        <v>100</v>
      </c>
      <c r="AR6" s="21">
        <f>COUNTIF(Sheet1!W3:W114, "&lt;&gt;")</f>
        <v>85</v>
      </c>
      <c r="AS6" s="21">
        <f>COUNTIF(Sheet1!X3:X114, "&lt;&gt;")</f>
        <v>72</v>
      </c>
      <c r="AT6" s="21">
        <f>COUNTIF(Sheet1!Y3:Y114, "&lt;&gt;")</f>
        <v>48</v>
      </c>
      <c r="AU6" s="21">
        <f>COUNTIF(Sheet1!Z3:Z114, "&lt;&gt;")</f>
        <v>15</v>
      </c>
      <c r="AV6" s="21">
        <f>COUNTIF(Sheet1!AA3:AA114, "&lt;&gt;")</f>
        <v>2</v>
      </c>
      <c r="AW6" s="21">
        <f>COUNTIF(Sheet1!AB3:AB114, "&lt;&gt;")</f>
        <v>1</v>
      </c>
      <c r="AX6" s="21">
        <f>COUNTIF(Sheet1!AC3:AC114, "&lt;&gt;")</f>
        <v>0</v>
      </c>
      <c r="AY6" s="21">
        <f>COUNTIF(Sheet1!AD3:AD114, "&lt;&gt;")</f>
        <v>0</v>
      </c>
      <c r="AZ6" s="21">
        <f>COUNTIF(Sheet1!AE3:AE114, "&lt;&gt;")</f>
        <v>0</v>
      </c>
      <c r="BA6" s="21">
        <f>AVERAGE(Sheet1!R:R)</f>
        <v>22.0422053848004</v>
      </c>
      <c r="BB6" s="21">
        <f>_xlfn.STDEV.P(Sheet1!R:R)</f>
        <v>1.1981798491567033</v>
      </c>
      <c r="BC6" s="21">
        <f>AVERAGE(Sheet1!S:S)</f>
        <v>37.977204175091316</v>
      </c>
      <c r="BD6" s="21">
        <f>_xlfn.STDEV.P(Sheet1!S:S)</f>
        <v>7.8162231284221289</v>
      </c>
      <c r="BE6" s="21"/>
    </row>
    <row r="9" spans="2:57" x14ac:dyDescent="0.3"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2:57" x14ac:dyDescent="0.3">
      <c r="D10" s="21"/>
      <c r="E10" s="21"/>
      <c r="F10" s="21"/>
      <c r="G10" s="21"/>
      <c r="H10" s="21"/>
      <c r="I10" s="21"/>
      <c r="J10" s="21"/>
      <c r="K10" s="21"/>
      <c r="L10" s="5"/>
      <c r="M10" s="5"/>
      <c r="N10" s="21"/>
      <c r="O10" s="21"/>
      <c r="P10" s="21"/>
      <c r="Q10" s="21"/>
      <c r="R10" s="21"/>
      <c r="S10" s="21"/>
      <c r="T10" s="21"/>
    </row>
    <row r="11" spans="2:57" x14ac:dyDescent="0.3">
      <c r="D11" s="21"/>
      <c r="E11" s="21"/>
      <c r="F11" s="21"/>
      <c r="G11" s="21"/>
      <c r="H11" s="21"/>
      <c r="I11" s="21"/>
      <c r="J11" s="21"/>
      <c r="K11" s="21"/>
      <c r="L11" s="5"/>
      <c r="M11" s="5"/>
      <c r="N11" s="21"/>
      <c r="O11" s="21"/>
      <c r="P11" s="21"/>
      <c r="Q11" s="21"/>
      <c r="R11" s="21"/>
      <c r="S11" s="21"/>
      <c r="T11" s="21"/>
    </row>
    <row r="14" spans="2:57" x14ac:dyDescent="0.3">
      <c r="V14" s="14"/>
    </row>
  </sheetData>
  <pageMargins left="0.7" right="0.7" top="0.75" bottom="0.75" header="0.3" footer="0.3"/>
  <pageSetup paperSize="9"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Rodriguez Rivadulla</cp:lastModifiedBy>
  <dcterms:created xsi:type="dcterms:W3CDTF">2015-06-05T18:17:20Z</dcterms:created>
  <dcterms:modified xsi:type="dcterms:W3CDTF">2024-07-23T11:13:25Z</dcterms:modified>
</cp:coreProperties>
</file>